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lp" sheetId="1" r:id="rId5"/>
    <sheet state="visible" name="Summary" sheetId="2" r:id="rId6"/>
    <sheet state="visible" name="Sales" sheetId="3" r:id="rId7"/>
    <sheet state="visible" name="Expenses" sheetId="4" r:id="rId8"/>
    <sheet state="visible" name="Partner Settlement" sheetId="5" r:id="rId9"/>
    <sheet state="hidden" name="january " sheetId="6" r:id="rId10"/>
    <sheet state="hidden" name="February" sheetId="7" r:id="rId11"/>
    <sheet state="hidden" name="March" sheetId="8" r:id="rId12"/>
    <sheet state="hidden" name="April" sheetId="9" r:id="rId13"/>
    <sheet state="hidden" name="May " sheetId="10" r:id="rId14"/>
    <sheet state="hidden" name="JUNE 2025" sheetId="11" r:id="rId15"/>
    <sheet state="hidden" name="JULY 2025" sheetId="12" r:id="rId16"/>
    <sheet state="hidden" name="AUG 2025 " sheetId="13" r:id="rId17"/>
    <sheet state="hidden" name="SEP 2025 " sheetId="14" r:id="rId18"/>
    <sheet state="hidden" name="OCT 2025" sheetId="15" r:id="rId19"/>
    <sheet state="hidden" name="NOV 2025" sheetId="16" r:id="rId20"/>
    <sheet state="hidden" name="DEC 2025 " sheetId="17" r:id="rId21"/>
    <sheet state="hidden" name="Sheet1"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tc={54c75428-5b44-4d53-97bb-fd9b0fb702b8}</author>
  </authors>
  <commentList>
    <comment authorId="0" xr:uid="{54c75428-5b44-4d53-97bb-fd9b0fb702b8}" ref="X17">
      <text>
        <t xml:space="preserve">[Threaded comment]
 Your version of Excel allows you to read this threaded comment; however, any edits to it will get removed if the file is opened in a newer version of Excel. Learn more: https://go.microsoft.com/fwlink/?linkid=870924
Comment:
	usman rasheed 
nasir iqbal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tc={40dd751c-3f9a-45f8-ae7a-188114ddfe4a}</author>
  </authors>
  <commentList>
    <comment authorId="0" xr:uid="{40dd751c-3f9a-45f8-ae7a-188114ddfe4a}" ref="X17">
      <text>
        <t xml:space="preserve">[Threaded comment]
 Your version of Excel allows you to read this threaded comment; however, any edits to it will get removed if the file is opened in a newer version of Excel. Learn more: https://go.microsoft.com/fwlink/?linkid=870924
Comment:
	usman rasheed 
nasir iqbal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tc={8a1c3dbf-f3c5-4cb7-9025-f12e9d9ae1bc}</author>
  </authors>
  <commentList>
    <comment authorId="0" xr:uid="{8a1c3dbf-f3c5-4cb7-9025-f12e9d9ae1bc}" ref="X18">
      <text>
        <t xml:space="preserve">[Threaded comment]
 Your version of Excel allows you to read this threaded comment; however, any edits to it will get removed if the file is opened in a newer version of Excel. Learn more: https://go.microsoft.com/fwlink/?linkid=870924
Comment:
	usman rasheed 
nasir iqbal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tc={e2a562e2-4063-437d-bfa1-a04175c450b8}</author>
  </authors>
  <commentList>
    <comment authorId="0" xr:uid="{e2a562e2-4063-437d-bfa1-a04175c450b8}" ref="X17">
      <text>
        <t xml:space="preserve">[Threaded comment]
 Your version of Excel allows you to read this threaded comment; however, any edits to it will get removed if the file is opened in a newer version of Excel. Learn more: https://go.microsoft.com/fwlink/?linkid=870924
Comment:
	usman rasheed 
nasir iqbal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tc={7e1e72f4-6785-4ccd-8604-fbc723c069f5}</author>
  </authors>
  <commentList>
    <comment authorId="0" xr:uid="{7e1e72f4-6785-4ccd-8604-fbc723c069f5}" ref="X17">
      <text>
        <t xml:space="preserve">[Threaded comment]
 Your version of Excel allows you to read this threaded comment; however, any edits to it will get removed if the file is opened in a newer version of Excel. Learn more: https://go.microsoft.com/fwlink/?linkid=870924
Comment:
	usman rasheed 
nasir iqbal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tc={25a4e4d7-c2e3-4f6e-ac01-e25a2147ccb8}</author>
  </authors>
  <commentList>
    <comment authorId="0" xr:uid="{25a4e4d7-c2e3-4f6e-ac01-e25a2147ccb8}" ref="X18">
      <text>
        <t xml:space="preserve">[Threaded comment]
 Your version of Excel allows you to read this threaded comment; however, any edits to it will get removed if the file is opened in a newer version of Excel. Learn more: https://go.microsoft.com/fwlink/?linkid=870924
Comment:
	usman rasheed 
nasir iqbal
</t>
      </text>
    </comment>
  </commentList>
</comments>
</file>

<file path=xl/sharedStrings.xml><?xml version="1.0" encoding="utf-8"?>
<sst xmlns="http://schemas.openxmlformats.org/spreadsheetml/2006/main" count="3217" uniqueCount="1062">
  <si>
    <t>Interactive Period Filter (Summary!K1): Selecting All Year (2025) aggregates the entire year's operations across January and February. Choosing any individual month (such as January or February) instantly filters all KPI metrics, agent distributions, and expense breakdowns to that specific month. Months without data cleanly display zero values with zero calculation errors.</t>
  </si>
  <si>
    <t>KAMAL EXPRESS • EXECUTIVE FINANCIAL DASHBOARD</t>
  </si>
  <si>
    <t>Executive Summary Cards (Summary!B2:K6):</t>
  </si>
  <si>
    <t>Total Invoiced: Total client billing for the selected period (PKR 1,518,900 full year / PKR 852,900 February).</t>
  </si>
  <si>
    <t>Total Collections: Cash and online payments collected (PKR 1,323,900 full year / PKR 852,900 February).</t>
  </si>
  <si>
    <t>Balance Receivable: Remaining unpaid customer invoices (PKR 195,000 full year / PKR 0 February).</t>
  </si>
  <si>
    <t>Filter Month:</t>
  </si>
  <si>
    <t>Vendor Payables: Direct cost of visas, appointments, and supplier expenses (PKR 807,672 full year / PKR 494,047 February).</t>
  </si>
  <si>
    <t>Operating Expenses: Office running overheads (PKR 115,290 full year / PKR 35,890 February).</t>
  </si>
  <si>
    <t>Gross Profit: Total invoiced revenue minus direct vendor costs (PKR 711,228 full year / PKR 358,853 February).</t>
  </si>
  <si>
    <t>Net Operating Profit: Gross profit minus overhead expenses (PKR 595,938 full year / PKR 322,963 February).</t>
  </si>
  <si>
    <t>Net Cash Position: Collections minus vendor payouts and operating expenses (PKR 400,938 full year / PKR 322,963 February).</t>
  </si>
  <si>
    <t>Master Sales Ledger (Sales!A13:M28): Added 16 February customer transactions with automated formulas calculating receivable balances and gross profit per transaction, followed by an updated full-ledger total row.</t>
  </si>
  <si>
    <t>Master Expenses Ledger (Expenses!A13:G22): Added 10 February operating expenses with standardized categories, paid-to entities, and payment methods, followed by an updated total row.</t>
  </si>
  <si>
    <t>Monthly Tab Preservation: All original monthly tabs (including February, March, April, etc.) remain 100% unaltered so your staff can audit and reconcile every figure against original notes.</t>
  </si>
  <si>
    <t>Date</t>
  </si>
  <si>
    <t>Year 2026</t>
  </si>
  <si>
    <t>Category</t>
  </si>
  <si>
    <t>Expense Item</t>
  </si>
  <si>
    <t>Amount</t>
  </si>
  <si>
    <t>Paid To</t>
  </si>
  <si>
    <t>TOTAL INVOICED</t>
  </si>
  <si>
    <t>Payment Method</t>
  </si>
  <si>
    <t>Serial No</t>
  </si>
  <si>
    <t>Notes</t>
  </si>
  <si>
    <t>TOTAL COLLECTIONS</t>
  </si>
  <si>
    <t>BALANCE RECEIVABLE</t>
  </si>
  <si>
    <t>VENDOR PAYABLES</t>
  </si>
  <si>
    <t>OPERATING EXPENSES</t>
  </si>
  <si>
    <t>Client Name</t>
  </si>
  <si>
    <t>Care Of</t>
  </si>
  <si>
    <t>Country</t>
  </si>
  <si>
    <t>Service</t>
  </si>
  <si>
    <t>Vendor</t>
  </si>
  <si>
    <t>Total Amount</t>
  </si>
  <si>
    <t>Received Amount</t>
  </si>
  <si>
    <t>Utilities</t>
  </si>
  <si>
    <t>Balance Receivable</t>
  </si>
  <si>
    <t>Water Bill</t>
  </si>
  <si>
    <t>Vendor Cost</t>
  </si>
  <si>
    <t>Vendor Status</t>
  </si>
  <si>
    <t>Gross Profit</t>
  </si>
  <si>
    <t>Office</t>
  </si>
  <si>
    <t>Cash</t>
  </si>
  <si>
    <t>Water utility bill</t>
  </si>
  <si>
    <t>Office Supplies</t>
  </si>
  <si>
    <t>Usman</t>
  </si>
  <si>
    <t>Printer &amp; Mouse</t>
  </si>
  <si>
    <t>Computer accessories</t>
  </si>
  <si>
    <t>Salaries &amp; Wages</t>
  </si>
  <si>
    <t>Contractor / Staff Fee</t>
  </si>
  <si>
    <t>Atif</t>
  </si>
  <si>
    <t>Payment to Atif Bhai</t>
  </si>
  <si>
    <t>Staff Salary / Stipend</t>
  </si>
  <si>
    <t>Haseeb</t>
  </si>
  <si>
    <t>Payment to Haseeb</t>
  </si>
  <si>
    <t>Zeeshan</t>
  </si>
  <si>
    <t>Germany</t>
  </si>
  <si>
    <t>Office Furniture</t>
  </si>
  <si>
    <t>Furniture for office</t>
  </si>
  <si>
    <t>Marketing &amp; Media</t>
  </si>
  <si>
    <t>Video Stand</t>
  </si>
  <si>
    <t>Online</t>
  </si>
  <si>
    <t>Video recording equipment</t>
  </si>
  <si>
    <t>Video Editor</t>
  </si>
  <si>
    <t>Profile</t>
  </si>
  <si>
    <t>Other</t>
  </si>
  <si>
    <t>In-House</t>
  </si>
  <si>
    <t>Editing services</t>
  </si>
  <si>
    <t>Electricity Bill</t>
  </si>
  <si>
    <t>Monthly electricity bill</t>
  </si>
  <si>
    <t>PTCL Internet &amp; Phone</t>
  </si>
  <si>
    <t>Noman</t>
  </si>
  <si>
    <t>PTCL bill paid via Noman</t>
  </si>
  <si>
    <t>Hamza Application</t>
  </si>
  <si>
    <t>Hamza</t>
  </si>
  <si>
    <t>Mobile app development</t>
  </si>
  <si>
    <t>Miscellaneous</t>
  </si>
  <si>
    <t>General Office Expenses</t>
  </si>
  <si>
    <t>Sundry office expenses</t>
  </si>
  <si>
    <t>Office Grocery</t>
  </si>
  <si>
    <t>Grocery via Tayyab (Paid by Zeeshan)</t>
  </si>
  <si>
    <t>Drinking Water</t>
  </si>
  <si>
    <t>Partner Name</t>
  </si>
  <si>
    <t>Transaction Type</t>
  </si>
  <si>
    <t>Notes / Reference</t>
  </si>
  <si>
    <t>N/A</t>
  </si>
  <si>
    <t>Pure Crystal water (Paid by Zeeshan)</t>
  </si>
  <si>
    <t>Office Dinner</t>
  </si>
  <si>
    <t>Mughees</t>
  </si>
  <si>
    <t>Office dinner - Tahir Attock (Paid by Zeeshan)</t>
  </si>
  <si>
    <t>Monthly water utility bill (Paid by Kamal)</t>
  </si>
  <si>
    <t>General office expenses (Paid by Kamal)</t>
  </si>
  <si>
    <t>Hussain Ali Hashmi</t>
  </si>
  <si>
    <t>Video editing fee (Paid by Zeeshan)</t>
  </si>
  <si>
    <t>Capital Advance</t>
  </si>
  <si>
    <t>Kitchen &amp; Office Supplies</t>
  </si>
  <si>
    <t>Initial TRP opening balance</t>
  </si>
  <si>
    <t>New Zealand</t>
  </si>
  <si>
    <t>Tissue and black tea (Paid by Kamal)</t>
  </si>
  <si>
    <t>Profile + Visa Fee</t>
  </si>
  <si>
    <t>Receipt</t>
  </si>
  <si>
    <t>Electricity Bill (IESCO)</t>
  </si>
  <si>
    <t>Embassy</t>
  </si>
  <si>
    <t>Installment received</t>
  </si>
  <si>
    <t>IESCO electricity bill (Paid by Zeeshan)</t>
  </si>
  <si>
    <t>Partner Drawing</t>
  </si>
  <si>
    <t>50,000 + 50,000 received by Zeeshan</t>
  </si>
  <si>
    <t>Local Travel (InDrive)</t>
  </si>
  <si>
    <t>Kamal</t>
  </si>
  <si>
    <t>InDrive fare (Paid by Zeeshan)</t>
  </si>
  <si>
    <t>Received by Kamal Bhai</t>
  </si>
  <si>
    <t>Paid</t>
  </si>
  <si>
    <t>Staff Salary - Tayyab</t>
  </si>
  <si>
    <t>Monthly salary for Tayyab (Paid by Kamal)</t>
  </si>
  <si>
    <t>Hamza Maqbool</t>
  </si>
  <si>
    <t>Belgium</t>
  </si>
  <si>
    <t>Dated 25-02-2025 Kamal Bhai</t>
  </si>
  <si>
    <t>Profile + Appointment</t>
  </si>
  <si>
    <t>Settlement</t>
  </si>
  <si>
    <t>Remaining January 2025 net balance</t>
  </si>
  <si>
    <t>Profit Distribution</t>
  </si>
  <si>
    <t>Plaza water bill (Paid by Kamal)</t>
  </si>
  <si>
    <t>Komal</t>
  </si>
  <si>
    <t>Singapore</t>
  </si>
  <si>
    <t>Visa</t>
  </si>
  <si>
    <t>March profit distribution</t>
  </si>
  <si>
    <t>Nawander</t>
  </si>
  <si>
    <t>PTCL bill (Paid by Kamal)</t>
  </si>
  <si>
    <t>Partner Disbursement</t>
  </si>
  <si>
    <t>Appointment payment disbursed by Kamal</t>
  </si>
  <si>
    <t>Adnan</t>
  </si>
  <si>
    <t>Credit Ammar disbursed by Kamal</t>
  </si>
  <si>
    <t>IESCO electricity bill (Paid by Kamal)</t>
  </si>
  <si>
    <t>Raja Ammar refund disbursed by Kamal</t>
  </si>
  <si>
    <t>Partner Transfer</t>
  </si>
  <si>
    <t>Zeeshan received from Kamal Ahmed</t>
  </si>
  <si>
    <t>Kamal received from Zeeshan Siddique</t>
  </si>
  <si>
    <t>Hassan Muraad</t>
  </si>
  <si>
    <t>Kamal received from Zeeshan account</t>
  </si>
  <si>
    <t>Rent &amp; Maintenance</t>
  </si>
  <si>
    <t>Office Rent</t>
  </si>
  <si>
    <t>Transferred to Kamal from Aroosa Junaid sale</t>
  </si>
  <si>
    <t>Office rent (Paid by Kamal)</t>
  </si>
  <si>
    <t>Transferred to Kamal from Zahid Mehmood sale</t>
  </si>
  <si>
    <t>Monthly salary for Tayyab (Paid by Zeeshan)</t>
  </si>
  <si>
    <t>Share from Muhammad Usman file</t>
  </si>
  <si>
    <t>Khuram Khan</t>
  </si>
  <si>
    <t>Office grocery (Paid by Zeeshan)</t>
  </si>
  <si>
    <t>Transferred to Kamal from Rasoolan Bibi sale</t>
  </si>
  <si>
    <t>Paid to Kamal from Asif Ali sale</t>
  </si>
  <si>
    <t>Irshad water bill (Paid by Zeeshan)</t>
  </si>
  <si>
    <t>Paid to Zeeshan from Abdul Sammad Khan sale</t>
  </si>
  <si>
    <t>Paid to Kamal from Asad Mahmood sale</t>
  </si>
  <si>
    <t>Malaysia</t>
  </si>
  <si>
    <t>Paid to Kamal from Shakir &amp; Kainat sale</t>
  </si>
  <si>
    <t>Fakhar</t>
  </si>
  <si>
    <t>Petty Cash / Food</t>
  </si>
  <si>
    <t>Paid to Kamal from Rozi &amp; Shumail sale</t>
  </si>
  <si>
    <t>Petty cash food (Paid by Zeeshan)</t>
  </si>
  <si>
    <t>Share from Ihsan ul haq sale</t>
  </si>
  <si>
    <t>Inter-Partner Transfer</t>
  </si>
  <si>
    <t>Transfer to Kamal from Shahnaz sale</t>
  </si>
  <si>
    <t>Received by Zeeshan from Humais group appointment</t>
  </si>
  <si>
    <t>Share from Muhammad Jafran sale</t>
  </si>
  <si>
    <t>Office grocery (Paid by Kamal)</t>
  </si>
  <si>
    <t>Transferred to Kamal from Nazish &amp; Zain Rehman sale</t>
  </si>
  <si>
    <t>Muhammad Atthar</t>
  </si>
  <si>
    <t>Office Equipment</t>
  </si>
  <si>
    <t>Spain</t>
  </si>
  <si>
    <t>Hardware phone (Paid by Zeeshan)</t>
  </si>
  <si>
    <t>Transfer to Kamal from Nazabat Hussain Shah sale</t>
  </si>
  <si>
    <t>Work Visa Appointment</t>
  </si>
  <si>
    <t>Nomi</t>
  </si>
  <si>
    <t>Share from Italy Appointment Group</t>
  </si>
  <si>
    <t>Hardware supplies (Paid by Zeeshan)</t>
  </si>
  <si>
    <t>Pending</t>
  </si>
  <si>
    <t>Safeer Sir</t>
  </si>
  <si>
    <t>Portugal</t>
  </si>
  <si>
    <t>Insurance</t>
  </si>
  <si>
    <t>Adamjee</t>
  </si>
  <si>
    <t>Total</t>
  </si>
  <si>
    <t>Hardware laptop</t>
  </si>
  <si>
    <t>Office Food &amp; Lunch</t>
  </si>
  <si>
    <t>Lunch for June (Kamal paid 2320, Zeeshan paid 9050)</t>
  </si>
  <si>
    <t>Courier / TCS</t>
  </si>
  <si>
    <t>TCS delivery (Paid by Zeeshan)</t>
  </si>
  <si>
    <t>Meeting Expenses E-11</t>
  </si>
  <si>
    <t>Meeting E11 (Paid by Zeeshan)</t>
  </si>
  <si>
    <t>Grocery (Paid by Zeeshan)</t>
  </si>
  <si>
    <t>Laptop Accessories</t>
  </si>
  <si>
    <t>Parveen</t>
  </si>
  <si>
    <t>Laptop cable (Paid by Zeeshan)</t>
  </si>
  <si>
    <t>France</t>
  </si>
  <si>
    <t>Water bill (Paid by Zeeshan)</t>
  </si>
  <si>
    <t>Shahzaib</t>
  </si>
  <si>
    <t>Talha Italy Boot</t>
  </si>
  <si>
    <t>Talha Italy boot (Paid by Kamal)</t>
  </si>
  <si>
    <t>Talha Italy boot (Paid by Zeeshan)</t>
  </si>
  <si>
    <t>AC Maintenance &amp; Cost</t>
  </si>
  <si>
    <t>AC cost (Paid by Zeeshan)</t>
  </si>
  <si>
    <t>Water bill plaza (Paid by Kamal)</t>
  </si>
  <si>
    <t>Teepo Bahi</t>
  </si>
  <si>
    <t>Saudi Arabia</t>
  </si>
  <si>
    <t>Shahzad BSM</t>
  </si>
  <si>
    <t>Grocery (Paid by Kamal)</t>
  </si>
  <si>
    <t>Lunch for July (2210 Kamal / 12046 Zeeshan)</t>
  </si>
  <si>
    <t>TST Payment</t>
  </si>
  <si>
    <t>Philippines</t>
  </si>
  <si>
    <t>Grocery (1350 Kamal / 6257 Zeeshan)</t>
  </si>
  <si>
    <t>Printer Toner</t>
  </si>
  <si>
    <t>Printer toner (Paid by Zeeshan)</t>
  </si>
  <si>
    <t>Hardware supplies (Paid by Kamal)</t>
  </si>
  <si>
    <t>Hamza Ali</t>
  </si>
  <si>
    <t>Water bill (Paid by Kamal)</t>
  </si>
  <si>
    <t>Thailand</t>
  </si>
  <si>
    <t>Imtiaz</t>
  </si>
  <si>
    <t>Lunch for August (2130 Kamal / 11813 Zeeshan)</t>
  </si>
  <si>
    <t>Ghayas Ud Din</t>
  </si>
  <si>
    <t>Abdul Hafeez</t>
  </si>
  <si>
    <t>Lunch for September (5340 Kamal / 13430 Zeeshan)</t>
  </si>
  <si>
    <t>Chair Repair &amp; Maintenance</t>
  </si>
  <si>
    <t>Chair repair (Paid by Zeeshan)</t>
  </si>
  <si>
    <t>Washroom Cleaning &amp; Supplies</t>
  </si>
  <si>
    <t>Washroom cleaning (Paid by Zeeshan)</t>
  </si>
  <si>
    <t>Office Dinner F-10</t>
  </si>
  <si>
    <t>Dinner F-10 (Paid by Zeeshan)</t>
  </si>
  <si>
    <t>Asif Ali</t>
  </si>
  <si>
    <t>Schengen</t>
  </si>
  <si>
    <t>Salman</t>
  </si>
  <si>
    <t>Shoukat Sir</t>
  </si>
  <si>
    <t>Lunch for October (Paid by Zeeshan)</t>
  </si>
  <si>
    <t>Raja Amir Refique</t>
  </si>
  <si>
    <t>Extra sundries (Paid by Zeeshan)</t>
  </si>
  <si>
    <t>Canada</t>
  </si>
  <si>
    <t>Electronic kettle (Paid by Kamal)</t>
  </si>
  <si>
    <t>Sabhat Hameed</t>
  </si>
  <si>
    <t>Sri Lanka</t>
  </si>
  <si>
    <t>Lunch for November (1800 Kamal / 15520 Zeeshan)</t>
  </si>
  <si>
    <t>Mubasher Rehman</t>
  </si>
  <si>
    <t>Fly Must</t>
  </si>
  <si>
    <t>Lunch for December (380 Kamal / 8380 Zeeshan)</t>
  </si>
  <si>
    <t>Saira Faisal</t>
  </si>
  <si>
    <t>PTCL Bill</t>
  </si>
  <si>
    <t>PTCL</t>
  </si>
  <si>
    <t>Paid by Kamal</t>
  </si>
  <si>
    <t>Paid by Zeeshan</t>
  </si>
  <si>
    <t>Sibtul Hassan</t>
  </si>
  <si>
    <t>IESCO Electricity Bill</t>
  </si>
  <si>
    <t>IESCO</t>
  </si>
  <si>
    <t>Plaza Water Bill</t>
  </si>
  <si>
    <t>Saqib</t>
  </si>
  <si>
    <t>Plaza</t>
  </si>
  <si>
    <t>Office payment</t>
  </si>
  <si>
    <t>Office Lunch</t>
  </si>
  <si>
    <t>Paid by Kamal (2,870) &amp; Zeeshan (9,570)</t>
  </si>
  <si>
    <t>Muhammad Tahir</t>
  </si>
  <si>
    <t>Nasir Iqbal</t>
  </si>
  <si>
    <t>Austria</t>
  </si>
  <si>
    <t>Paid by Zeeshan (1,450) &amp; Kamal (1,000)</t>
  </si>
  <si>
    <t>Armoghan Akbar</t>
  </si>
  <si>
    <t>UAE</t>
  </si>
  <si>
    <t>Ticket</t>
  </si>
  <si>
    <t>Crystal Water</t>
  </si>
  <si>
    <t>For Feb &amp; March, Paid by Zeeshan</t>
  </si>
  <si>
    <t>Tahzeeb Guest Refreshment</t>
  </si>
  <si>
    <t>Tahzeeb Bakers</t>
  </si>
  <si>
    <t>Paid by Zeeshan (1,230) &amp; Kamal (1,230)</t>
  </si>
  <si>
    <t>Sumira Butt</t>
  </si>
  <si>
    <t>Paid by Zeeshan &amp; Kamal</t>
  </si>
  <si>
    <t>MOFA</t>
  </si>
  <si>
    <t>Zaka Bhai</t>
  </si>
  <si>
    <t>Staff Salary</t>
  </si>
  <si>
    <t>Tayyab</t>
  </si>
  <si>
    <t>Monthly salary for Tayyab</t>
  </si>
  <si>
    <t>Translation</t>
  </si>
  <si>
    <t>Aqib Transworld</t>
  </si>
  <si>
    <t>Usman Rasheed</t>
  </si>
  <si>
    <t>Azerbaijan</t>
  </si>
  <si>
    <t>Mahnoor Imtiaz</t>
  </si>
  <si>
    <t>Hungary</t>
  </si>
  <si>
    <t>Business Appointment</t>
  </si>
  <si>
    <t>Muhammad Faiq Khan</t>
  </si>
  <si>
    <t>Syeda Iqra Batool</t>
  </si>
  <si>
    <t>Lithuania</t>
  </si>
  <si>
    <t>JANUARY SALE</t>
  </si>
  <si>
    <t>Lithuania Appointment</t>
  </si>
  <si>
    <t>Paid by Zeeshan (13,540) &amp; Kamal (4,280)</t>
  </si>
  <si>
    <t>Jamshad Anwar</t>
  </si>
  <si>
    <t>Estonia</t>
  </si>
  <si>
    <t>Paid by Zeeshan (3,610) &amp; Kamal (1,410)</t>
  </si>
  <si>
    <t>Estonia Appointment</t>
  </si>
  <si>
    <t>Ayesha Tanveer</t>
  </si>
  <si>
    <t>Serial number</t>
  </si>
  <si>
    <t>Visa Appointment</t>
  </si>
  <si>
    <t xml:space="preserve">client name </t>
  </si>
  <si>
    <t>Care of</t>
  </si>
  <si>
    <t xml:space="preserve">country </t>
  </si>
  <si>
    <t xml:space="preserve">Vender </t>
  </si>
  <si>
    <t xml:space="preserve">services </t>
  </si>
  <si>
    <t xml:space="preserve">received amount </t>
  </si>
  <si>
    <t xml:space="preserve">Payable  </t>
  </si>
  <si>
    <t>Tanveer Hussain</t>
  </si>
  <si>
    <t xml:space="preserve">usman </t>
  </si>
  <si>
    <t>zeeshan</t>
  </si>
  <si>
    <t xml:space="preserve">profile </t>
  </si>
  <si>
    <t>Laptop Charger</t>
  </si>
  <si>
    <t>hussain ali hashmi</t>
  </si>
  <si>
    <t>profile + visa fee</t>
  </si>
  <si>
    <t>water bill</t>
  </si>
  <si>
    <t>hamza maqboool</t>
  </si>
  <si>
    <t>Meer Hadi</t>
  </si>
  <si>
    <t xml:space="preserve">profile + appointment </t>
  </si>
  <si>
    <t xml:space="preserve">printer &amp; mouse </t>
  </si>
  <si>
    <t>komal</t>
  </si>
  <si>
    <t xml:space="preserve">Kamal </t>
  </si>
  <si>
    <t>visa</t>
  </si>
  <si>
    <t>Paid by Kamal (3,440) &amp; Zeeshan (8,980)</t>
  </si>
  <si>
    <t xml:space="preserve">atif bahi </t>
  </si>
  <si>
    <t>Paid by Kamal (6,090) &amp; Zeeshan (4,970)</t>
  </si>
  <si>
    <t>haseeb</t>
  </si>
  <si>
    <t>Website Development</t>
  </si>
  <si>
    <t>Hassan muraad</t>
  </si>
  <si>
    <t>Ali</t>
  </si>
  <si>
    <t>Asghar Arslan</t>
  </si>
  <si>
    <t xml:space="preserve">Khuram khan </t>
  </si>
  <si>
    <t xml:space="preserve">furniture </t>
  </si>
  <si>
    <t>Plaza Bill</t>
  </si>
  <si>
    <t>Plaza Management</t>
  </si>
  <si>
    <t>video stand</t>
  </si>
  <si>
    <t>adnan</t>
  </si>
  <si>
    <t>Ajmal Hussain</t>
  </si>
  <si>
    <t xml:space="preserve">video editor </t>
  </si>
  <si>
    <t>Oman</t>
  </si>
  <si>
    <t xml:space="preserve">Muhammad atthar </t>
  </si>
  <si>
    <t>spain</t>
  </si>
  <si>
    <t>USB Drive</t>
  </si>
  <si>
    <t xml:space="preserve">work visa appointment </t>
  </si>
  <si>
    <t>17000 received</t>
  </si>
  <si>
    <t xml:space="preserve">electrcity </t>
  </si>
  <si>
    <t xml:space="preserve">safeer sir </t>
  </si>
  <si>
    <t>portugal</t>
  </si>
  <si>
    <t xml:space="preserve">insurance </t>
  </si>
  <si>
    <t>Paid by Kamal (2,690) &amp; Zeeshan (11,140)</t>
  </si>
  <si>
    <t xml:space="preserve">received online  </t>
  </si>
  <si>
    <t>Muhammad Ifrahim</t>
  </si>
  <si>
    <t>noman ptcl</t>
  </si>
  <si>
    <t>For May &amp; June, Paid by Zeeshan</t>
  </si>
  <si>
    <t>Plaza ASM Fee</t>
  </si>
  <si>
    <t>Faiq Khan</t>
  </si>
  <si>
    <t>Total Expenses</t>
  </si>
  <si>
    <t>app hamza</t>
  </si>
  <si>
    <t xml:space="preserve">office expenses </t>
  </si>
  <si>
    <t>Abdul Hameed</t>
  </si>
  <si>
    <t>Kenya</t>
  </si>
  <si>
    <t>kamal</t>
  </si>
  <si>
    <t>TRP</t>
  </si>
  <si>
    <t xml:space="preserve">150000 received </t>
  </si>
  <si>
    <t>25450 remaning january 2025</t>
  </si>
  <si>
    <t>Ticket / Hotel / Insurance</t>
  </si>
  <si>
    <t>Saqib / TST / Adamjee</t>
  </si>
  <si>
    <t xml:space="preserve">50000 + 50000 received </t>
  </si>
  <si>
    <t>kamal bahi</t>
  </si>
  <si>
    <t>Tanveer Appointments</t>
  </si>
  <si>
    <t>Netherlands</t>
  </si>
  <si>
    <t>50000 dated 25-02-2025</t>
  </si>
  <si>
    <t>Visa Appointments</t>
  </si>
  <si>
    <t xml:space="preserve">remaning </t>
  </si>
  <si>
    <t xml:space="preserve">received </t>
  </si>
  <si>
    <t>Mujeeb Zahoor</t>
  </si>
  <si>
    <t>Diplomatic</t>
  </si>
  <si>
    <t>Diplomatic Entry</t>
  </si>
  <si>
    <t>Diplomatic / Police</t>
  </si>
  <si>
    <t>Syed Nouman</t>
  </si>
  <si>
    <t>UK</t>
  </si>
  <si>
    <t>Visa Form Checking</t>
  </si>
  <si>
    <t>Muhammad Ali Khan</t>
  </si>
  <si>
    <t>Shahzad Arif</t>
  </si>
  <si>
    <t>Norway</t>
  </si>
  <si>
    <t>Appointment</t>
  </si>
  <si>
    <t>Waqas Rafique</t>
  </si>
  <si>
    <t>Saqib Ramzan</t>
  </si>
  <si>
    <t>Saeed Ahmad</t>
  </si>
  <si>
    <t>Naila Sarwar</t>
  </si>
  <si>
    <t>Sarmad</t>
  </si>
  <si>
    <t>Kamran Shah</t>
  </si>
  <si>
    <t>Fakhar / Shabar Travel</t>
  </si>
  <si>
    <t>Consultancy</t>
  </si>
  <si>
    <t>Muhammad Asif &amp; Fauzia Asif</t>
  </si>
  <si>
    <t>Wajahat Shafiq</t>
  </si>
  <si>
    <t>Spain Appointment Kazmi BLS</t>
  </si>
  <si>
    <t>Jahanzaib Shabbir</t>
  </si>
  <si>
    <t>Wasif Ullah Khan</t>
  </si>
  <si>
    <t>Raja Shahzaib Sultan</t>
  </si>
  <si>
    <t>FEBRUARY SALE</t>
  </si>
  <si>
    <t>Ali Raza</t>
  </si>
  <si>
    <t>Shahroze &amp; Mishaal</t>
  </si>
  <si>
    <t>Indonesia</t>
  </si>
  <si>
    <t>Zohaib</t>
  </si>
  <si>
    <t>Husanain Ali</t>
  </si>
  <si>
    <t>Turkey</t>
  </si>
  <si>
    <t>File</t>
  </si>
  <si>
    <t>Imran</t>
  </si>
  <si>
    <t>(MOFA) Apostille</t>
  </si>
  <si>
    <t>Tanveer</t>
  </si>
  <si>
    <t>profit</t>
  </si>
  <si>
    <t xml:space="preserve">payable to company </t>
  </si>
  <si>
    <t>Aroosa Junaid</t>
  </si>
  <si>
    <t>Italy</t>
  </si>
  <si>
    <t>Waleed</t>
  </si>
  <si>
    <t>s</t>
  </si>
  <si>
    <t>Zahid Mehmood</t>
  </si>
  <si>
    <t>france</t>
  </si>
  <si>
    <t>shahzaib</t>
  </si>
  <si>
    <t>appointment</t>
  </si>
  <si>
    <t>Jamala Sahib &amp; Jan Shabir</t>
  </si>
  <si>
    <t>Sweden</t>
  </si>
  <si>
    <t>Return to madam parveen 20/02/2025</t>
  </si>
  <si>
    <t>Haseeb Hussain Shah</t>
  </si>
  <si>
    <t>South Africa</t>
  </si>
  <si>
    <t>Muhammad Usman</t>
  </si>
  <si>
    <t>Safia Malik</t>
  </si>
  <si>
    <t>Teepo bahi</t>
  </si>
  <si>
    <t>Saudia</t>
  </si>
  <si>
    <t xml:space="preserve">shahzad BSM </t>
  </si>
  <si>
    <t xml:space="preserve">umrah visa </t>
  </si>
  <si>
    <t>Shahroze &amp; Mishal</t>
  </si>
  <si>
    <t>Skyline Holiday</t>
  </si>
  <si>
    <t>GROSS PROFIT</t>
  </si>
  <si>
    <t>Worldwide</t>
  </si>
  <si>
    <t>NET OPERATING PROFIT</t>
  </si>
  <si>
    <t>NET CASH POSITION</t>
  </si>
  <si>
    <t xml:space="preserve">1900 company account </t>
  </si>
  <si>
    <t xml:space="preserve">TST payment </t>
  </si>
  <si>
    <t xml:space="preserve">Philippines </t>
  </si>
  <si>
    <t>Shabeer Bhai</t>
  </si>
  <si>
    <t xml:space="preserve">Diplomatic entry </t>
  </si>
  <si>
    <t xml:space="preserve">hamza ali </t>
  </si>
  <si>
    <t xml:space="preserve">kamal </t>
  </si>
  <si>
    <t xml:space="preserve">Thailand </t>
  </si>
  <si>
    <t>imtiaz</t>
  </si>
  <si>
    <t xml:space="preserve">visa </t>
  </si>
  <si>
    <t>Nabia Farrah</t>
  </si>
  <si>
    <t>Appointment + Visa File</t>
  </si>
  <si>
    <t>Ghayas ud din</t>
  </si>
  <si>
    <t>abdul hafeez</t>
  </si>
  <si>
    <t>Muhammad Ramzan</t>
  </si>
  <si>
    <t>adamjee</t>
  </si>
  <si>
    <t>Muhammad Salman Khan</t>
  </si>
  <si>
    <t>Awais</t>
  </si>
  <si>
    <t>Muhammad Fayyaz +2</t>
  </si>
  <si>
    <t>Bulgaria</t>
  </si>
  <si>
    <t>Naeem</t>
  </si>
  <si>
    <t xml:space="preserve">company account </t>
  </si>
  <si>
    <t xml:space="preserve">12000 transferd company account </t>
  </si>
  <si>
    <t>Muhammad Yasser</t>
  </si>
  <si>
    <t>paid by</t>
  </si>
  <si>
    <t>asif ali</t>
  </si>
  <si>
    <t xml:space="preserve">schengen / worldwide </t>
  </si>
  <si>
    <t>Asad Mehmood</t>
  </si>
  <si>
    <t>salman</t>
  </si>
  <si>
    <t>Rasoolan Bibi</t>
  </si>
  <si>
    <t xml:space="preserve">new zealand </t>
  </si>
  <si>
    <t xml:space="preserve">Shoukat sir  </t>
  </si>
  <si>
    <t xml:space="preserve">new zealand visa </t>
  </si>
  <si>
    <t>Jamshid Ali</t>
  </si>
  <si>
    <t>Muhammad Hamza</t>
  </si>
  <si>
    <t>Japan</t>
  </si>
  <si>
    <t>Ticket Booking</t>
  </si>
  <si>
    <t>raja amir refique</t>
  </si>
  <si>
    <t>canada</t>
  </si>
  <si>
    <t xml:space="preserve">kamal express </t>
  </si>
  <si>
    <t xml:space="preserve">canada appointment </t>
  </si>
  <si>
    <t>Visa File</t>
  </si>
  <si>
    <t>tayyab</t>
  </si>
  <si>
    <t xml:space="preserve">grocery </t>
  </si>
  <si>
    <t>sabhat hameed</t>
  </si>
  <si>
    <t xml:space="preserve">sri lanka </t>
  </si>
  <si>
    <t>Muhammad Hafeez</t>
  </si>
  <si>
    <t>pure crystel</t>
  </si>
  <si>
    <t>Umar Farooq</t>
  </si>
  <si>
    <t xml:space="preserve">Mubasher rehman </t>
  </si>
  <si>
    <t>Poland</t>
  </si>
  <si>
    <t xml:space="preserve">Flay must </t>
  </si>
  <si>
    <t>Shabber</t>
  </si>
  <si>
    <t xml:space="preserve">paid madam rehana </t>
  </si>
  <si>
    <t>Abdul Sammad Khan</t>
  </si>
  <si>
    <t xml:space="preserve">office dinner </t>
  </si>
  <si>
    <t xml:space="preserve">tahir attock </t>
  </si>
  <si>
    <t xml:space="preserve">Saira faisal </t>
  </si>
  <si>
    <t>Ticket Date Change</t>
  </si>
  <si>
    <t xml:space="preserve">received onile </t>
  </si>
  <si>
    <t>visa services</t>
  </si>
  <si>
    <t>Hotel Charges</t>
  </si>
  <si>
    <t>office expenses</t>
  </si>
  <si>
    <t>24/02/2025</t>
  </si>
  <si>
    <t>sibtul hassan</t>
  </si>
  <si>
    <t xml:space="preserve">visa letter </t>
  </si>
  <si>
    <t>Agent (Care Of)</t>
  </si>
  <si>
    <t>Asad Mahmood</t>
  </si>
  <si>
    <t>Total Invoiced</t>
  </si>
  <si>
    <t>Collected</t>
  </si>
  <si>
    <t>saqib</t>
  </si>
  <si>
    <t>Receivable</t>
  </si>
  <si>
    <t>ticket</t>
  </si>
  <si>
    <t>Expense Category</t>
  </si>
  <si>
    <t>Total Spent</t>
  </si>
  <si>
    <t>% of Total</t>
  </si>
  <si>
    <t>Tx Count</t>
  </si>
  <si>
    <t xml:space="preserve">Muhammad Tahir </t>
  </si>
  <si>
    <t xml:space="preserve">france </t>
  </si>
  <si>
    <t>paid</t>
  </si>
  <si>
    <t>Serbia</t>
  </si>
  <si>
    <t xml:space="preserve">tissue and black tea </t>
  </si>
  <si>
    <t>25/02/2025</t>
  </si>
  <si>
    <t>Serbia Work Visa</t>
  </si>
  <si>
    <t xml:space="preserve">Nasir Iqbal </t>
  </si>
  <si>
    <t>Asif</t>
  </si>
  <si>
    <t>austria</t>
  </si>
  <si>
    <t>M Jahanger Mazhar</t>
  </si>
  <si>
    <t>iseco bill zeeshan</t>
  </si>
  <si>
    <t>26/02/2025</t>
  </si>
  <si>
    <t xml:space="preserve">indrive </t>
  </si>
  <si>
    <t>Usman Fazil</t>
  </si>
  <si>
    <t xml:space="preserve">tayyab salary </t>
  </si>
  <si>
    <t>Visit Visa</t>
  </si>
  <si>
    <t>Karachi</t>
  </si>
  <si>
    <t>Khwaja Haider Farooq</t>
  </si>
  <si>
    <t>Marrij Mushtaq</t>
  </si>
  <si>
    <t>Muhammad Umar Maqsood</t>
  </si>
  <si>
    <t>Raja Ayaz Khalid</t>
  </si>
  <si>
    <t>Salma Bibi</t>
  </si>
  <si>
    <t>Tayyab Aslam</t>
  </si>
  <si>
    <t>Dubai</t>
  </si>
  <si>
    <t>Ahsan Latif</t>
  </si>
  <si>
    <t>Jahangir Documents</t>
  </si>
  <si>
    <t>Attestation</t>
  </si>
  <si>
    <t>Sajjad Diplomatic</t>
  </si>
  <si>
    <t>Shakir &amp; Kainat</t>
  </si>
  <si>
    <t>Wasif</t>
  </si>
  <si>
    <t>Awais Iqbal Khan</t>
  </si>
  <si>
    <t>Awais &amp; Anita</t>
  </si>
  <si>
    <t>Rozi &amp; Shumail</t>
  </si>
  <si>
    <t>Wasif / In-House</t>
  </si>
  <si>
    <t>Asra Hameed</t>
  </si>
  <si>
    <t>Humais Bhai</t>
  </si>
  <si>
    <t>Nadia Zafar</t>
  </si>
  <si>
    <t>Translation &amp; Apostille</t>
  </si>
  <si>
    <t>Abu Bakar / Aqib</t>
  </si>
  <si>
    <t>Muhammad Boota</t>
  </si>
  <si>
    <t>Saqib HMN Holidays</t>
  </si>
  <si>
    <t>Ihsan ul haq</t>
  </si>
  <si>
    <t>Apostille</t>
  </si>
  <si>
    <t>KTS Services</t>
  </si>
  <si>
    <t>Ilyas Family</t>
  </si>
  <si>
    <t>Musawar Ali</t>
  </si>
  <si>
    <t>Moiz Consultant</t>
  </si>
  <si>
    <t>Shahnaz</t>
  </si>
  <si>
    <t>Kamal Express &amp; Holidays</t>
  </si>
  <si>
    <t>M,noon and 2 more</t>
  </si>
  <si>
    <t>Kamal Express</t>
  </si>
  <si>
    <t>Faisal Hayat</t>
  </si>
  <si>
    <t>Taj ud din khan</t>
  </si>
  <si>
    <t>Done Base Visa</t>
  </si>
  <si>
    <t>Skyline Holidays</t>
  </si>
  <si>
    <t>Awais Amin PLC</t>
  </si>
  <si>
    <t>Humais Group Appointment</t>
  </si>
  <si>
    <t>Amila Khan</t>
  </si>
  <si>
    <t>Mehtab Zafar</t>
  </si>
  <si>
    <t>M. Jahangir Mazhar</t>
  </si>
  <si>
    <t>Syed Ali</t>
  </si>
  <si>
    <t>Nawander Karachi</t>
  </si>
  <si>
    <t>Nayyab Farooq</t>
  </si>
  <si>
    <t>Noor Francis</t>
  </si>
  <si>
    <t>Appointment / File</t>
  </si>
  <si>
    <t>Majid Basheer</t>
  </si>
  <si>
    <t>Malaysia, Indonesia, Thailand</t>
  </si>
  <si>
    <t>Visas</t>
  </si>
  <si>
    <t>Abdul Samad Amin</t>
  </si>
  <si>
    <t>Sri Lanka, Malaysia</t>
  </si>
  <si>
    <t>Imran Awais</t>
  </si>
  <si>
    <t>Saira Naz</t>
  </si>
  <si>
    <t>Anzish Awais</t>
  </si>
  <si>
    <t>Muhammad Jafran</t>
  </si>
  <si>
    <t>Greece</t>
  </si>
  <si>
    <t>United Insurance</t>
  </si>
  <si>
    <t>Nazish &amp; Zain Rehman</t>
  </si>
  <si>
    <t>Samad Amin</t>
  </si>
  <si>
    <t>Visa Filing</t>
  </si>
  <si>
    <t>Haider Ali Mazhar</t>
  </si>
  <si>
    <t>Suleman Arif</t>
  </si>
  <si>
    <t>Travel Health Insurance</t>
  </si>
  <si>
    <t>Irshad, Zoya &amp; Kausar</t>
  </si>
  <si>
    <t>Eman Ilyas</t>
  </si>
  <si>
    <t>Police Certificate &amp; Apostille</t>
  </si>
  <si>
    <t>Shoaib</t>
  </si>
  <si>
    <t>Adamjee Insurance</t>
  </si>
  <si>
    <t>Naveed &amp; Atif</t>
  </si>
  <si>
    <t>Morocco</t>
  </si>
  <si>
    <t>E-Visa Services</t>
  </si>
  <si>
    <t>Talha Ahmad Qureshi</t>
  </si>
  <si>
    <t>Schengen Visa Services</t>
  </si>
  <si>
    <t>Rehana Shahid &amp; Raha Shahid</t>
  </si>
  <si>
    <t>Mohsin Jabbar</t>
  </si>
  <si>
    <t>Company</t>
  </si>
  <si>
    <t>Qammar Abbas</t>
  </si>
  <si>
    <t>Hassan Sharif</t>
  </si>
  <si>
    <t>Micheal Jonson</t>
  </si>
  <si>
    <t>MARCH SALE</t>
  </si>
  <si>
    <t>Nazia Hameed</t>
  </si>
  <si>
    <t>Athar Islam Ahmad</t>
  </si>
  <si>
    <t>Aima Nayab</t>
  </si>
  <si>
    <t>Muhammad Ilham Ali</t>
  </si>
  <si>
    <t>Hassan Ishtiaq</t>
  </si>
  <si>
    <t>Yasar Mehmood</t>
  </si>
  <si>
    <t>office expnses</t>
  </si>
  <si>
    <t>Rameen Syad</t>
  </si>
  <si>
    <t>Haider Ali</t>
  </si>
  <si>
    <t>Saqib Golden Horse</t>
  </si>
  <si>
    <t xml:space="preserve">total  amount </t>
  </si>
  <si>
    <t>Muhammad Hassan Sharif</t>
  </si>
  <si>
    <t>status</t>
  </si>
  <si>
    <t>payable to company</t>
  </si>
  <si>
    <t>Nazabat Hussain Shah</t>
  </si>
  <si>
    <t xml:space="preserve">account </t>
  </si>
  <si>
    <t>Talha Ahmad</t>
  </si>
  <si>
    <t>Italy Appointment Group (10)</t>
  </si>
  <si>
    <t>Armoghan akbar</t>
  </si>
  <si>
    <t>Imran Shahzada</t>
  </si>
  <si>
    <t>Visit Visa &amp; Ticket</t>
  </si>
  <si>
    <t>Kamal Express &amp; Golden Horse</t>
  </si>
  <si>
    <t>received account kamal</t>
  </si>
  <si>
    <t>kamal ahmed</t>
  </si>
  <si>
    <t>Muhammad Tariq</t>
  </si>
  <si>
    <t>Tanzania</t>
  </si>
  <si>
    <t>E-Visa</t>
  </si>
  <si>
    <t xml:space="preserve">amount </t>
  </si>
  <si>
    <t>payto</t>
  </si>
  <si>
    <t>zeeshan/kamal</t>
  </si>
  <si>
    <t xml:space="preserve">dated </t>
  </si>
  <si>
    <t>Ayesha &amp; Noreen Ilyas</t>
  </si>
  <si>
    <t>sumira butt</t>
  </si>
  <si>
    <t>saudia</t>
  </si>
  <si>
    <t>zaka bahi</t>
  </si>
  <si>
    <t>received cash kamal</t>
  </si>
  <si>
    <t>plaza water bill</t>
  </si>
  <si>
    <t>13/03/2025</t>
  </si>
  <si>
    <t>aqib transworld</t>
  </si>
  <si>
    <t>translation</t>
  </si>
  <si>
    <t>received csah kamal</t>
  </si>
  <si>
    <t>video editior</t>
  </si>
  <si>
    <t>18/03/2025</t>
  </si>
  <si>
    <t>usman rasheed</t>
  </si>
  <si>
    <t xml:space="preserve">received account zeeshan </t>
  </si>
  <si>
    <t xml:space="preserve">zeeshan siddique </t>
  </si>
  <si>
    <t>ptcl bill</t>
  </si>
  <si>
    <t>20/03/2025</t>
  </si>
  <si>
    <t>mahnoor imtiaz</t>
  </si>
  <si>
    <t>hungary</t>
  </si>
  <si>
    <t xml:space="preserve">business appointment </t>
  </si>
  <si>
    <t/>
  </si>
  <si>
    <t>iseco bill</t>
  </si>
  <si>
    <t>26/03/2025</t>
  </si>
  <si>
    <t xml:space="preserve">muhammad faiq khan </t>
  </si>
  <si>
    <t>24/03/2025</t>
  </si>
  <si>
    <t>syeda iqra batool</t>
  </si>
  <si>
    <t xml:space="preserve">Lithuania </t>
  </si>
  <si>
    <t xml:space="preserve">Lithuania appointment </t>
  </si>
  <si>
    <t xml:space="preserve">total </t>
  </si>
  <si>
    <t>jamshad anwar</t>
  </si>
  <si>
    <t>estonia</t>
  </si>
  <si>
    <t xml:space="preserve">estonia appointment </t>
  </si>
  <si>
    <t xml:space="preserve">ayesha tanveer </t>
  </si>
  <si>
    <t xml:space="preserve">visa appointment </t>
  </si>
  <si>
    <t xml:space="preserve">received kamal account </t>
  </si>
  <si>
    <t>tanveer hussain</t>
  </si>
  <si>
    <t>meer hadi</t>
  </si>
  <si>
    <t>asghar arslan</t>
  </si>
  <si>
    <t>zeeshan pay to company total amount 50%</t>
  </si>
  <si>
    <t>total profit</t>
  </si>
  <si>
    <t>APRIL SALE</t>
  </si>
  <si>
    <t>cost</t>
  </si>
  <si>
    <t>S/C</t>
  </si>
  <si>
    <t>Ajmal hussain</t>
  </si>
  <si>
    <t>oman</t>
  </si>
  <si>
    <t xml:space="preserve">ticket </t>
  </si>
  <si>
    <t xml:space="preserve">pending </t>
  </si>
  <si>
    <t>waqas video editor</t>
  </si>
  <si>
    <t>faiq khan</t>
  </si>
  <si>
    <t xml:space="preserve">hungary </t>
  </si>
  <si>
    <t>kamal express</t>
  </si>
  <si>
    <t>received zeeshasn</t>
  </si>
  <si>
    <t>ptcl</t>
  </si>
  <si>
    <t>Abdul hameed</t>
  </si>
  <si>
    <t>kenya</t>
  </si>
  <si>
    <t xml:space="preserve">received kamal </t>
  </si>
  <si>
    <t>saqib / TST / adamjee</t>
  </si>
  <si>
    <t xml:space="preserve">ticket / hotel / insurance </t>
  </si>
  <si>
    <t xml:space="preserve">received company account </t>
  </si>
  <si>
    <t xml:space="preserve">tanveer appointments </t>
  </si>
  <si>
    <t xml:space="preserve">Netherlands </t>
  </si>
  <si>
    <t xml:space="preserve">visa appointments </t>
  </si>
  <si>
    <t>mujeeb zahoor</t>
  </si>
  <si>
    <t xml:space="preserve">diplomatic /police </t>
  </si>
  <si>
    <t xml:space="preserve">diplomatic entry </t>
  </si>
  <si>
    <t>syed Nouman</t>
  </si>
  <si>
    <t xml:space="preserve">visa form checking </t>
  </si>
  <si>
    <t xml:space="preserve">cash kamal </t>
  </si>
  <si>
    <t>MAY 2025 SALE</t>
  </si>
  <si>
    <t xml:space="preserve">payment Date </t>
  </si>
  <si>
    <t>Muhammad Ali khan</t>
  </si>
  <si>
    <t xml:space="preserve">received zeeshan account </t>
  </si>
  <si>
    <t>Shahzad arif</t>
  </si>
  <si>
    <t>kamal express &amp; holidays pvt ltd</t>
  </si>
  <si>
    <t xml:space="preserve">appointment </t>
  </si>
  <si>
    <t xml:space="preserve">crystel water </t>
  </si>
  <si>
    <t xml:space="preserve">zeeshan </t>
  </si>
  <si>
    <t>waqas refique</t>
  </si>
  <si>
    <t xml:space="preserve">Tayyab salary </t>
  </si>
  <si>
    <t>saqib ramzan</t>
  </si>
  <si>
    <t>grocery</t>
  </si>
  <si>
    <t xml:space="preserve">saeed ahmad </t>
  </si>
  <si>
    <t>irshad water bill</t>
  </si>
  <si>
    <t xml:space="preserve">    13/5/2025</t>
  </si>
  <si>
    <t xml:space="preserve">asad munir </t>
  </si>
  <si>
    <t>remaning</t>
  </si>
  <si>
    <t xml:space="preserve">payement remaning </t>
  </si>
  <si>
    <t>21/5/2025</t>
  </si>
  <si>
    <r>
      <rPr>
        <rFont val="Times New Roman"/>
        <b/>
        <color rgb="FF548135"/>
        <sz val="11.0"/>
      </rPr>
      <t>Naila sarwar</t>
    </r>
    <r>
      <rPr>
        <rFont val="Times New Roman"/>
        <b/>
        <color rgb="FF548135"/>
        <sz val="11.0"/>
      </rPr>
      <t xml:space="preserve"> </t>
    </r>
  </si>
  <si>
    <t>26/05/2025 &amp; 27/05/2025</t>
  </si>
  <si>
    <t xml:space="preserve">sarmad </t>
  </si>
  <si>
    <t>Patty cash food</t>
  </si>
  <si>
    <t>31/05/2025</t>
  </si>
  <si>
    <t xml:space="preserve">kamran shah </t>
  </si>
  <si>
    <t xml:space="preserve">malaysia </t>
  </si>
  <si>
    <t xml:space="preserve">fakhar / shabar travel </t>
  </si>
  <si>
    <t xml:space="preserve">office rent </t>
  </si>
  <si>
    <t>3500 INS to KAMAL EXP ACCOUNT</t>
  </si>
  <si>
    <t xml:space="preserve">PTCL Bill </t>
  </si>
  <si>
    <t>21/05/2025</t>
  </si>
  <si>
    <t>KAMAL AHMED</t>
  </si>
  <si>
    <t>13/05/2025</t>
  </si>
  <si>
    <t>credit ammar</t>
  </si>
  <si>
    <t>19/0/2025</t>
  </si>
  <si>
    <t>paid appointment fee</t>
  </si>
  <si>
    <t>raja ammar refund</t>
  </si>
  <si>
    <t>19/05/2025</t>
  </si>
  <si>
    <t xml:space="preserve"> JUNE 2025 SALE</t>
  </si>
  <si>
    <t>Jahanzaib Shahbbir</t>
  </si>
  <si>
    <t xml:space="preserve">                                         16/05/2025</t>
  </si>
  <si>
    <t xml:space="preserve">30k received zeeshan account </t>
  </si>
  <si>
    <t xml:space="preserve">           16/06/2025</t>
  </si>
  <si>
    <t>hungary /Malaysia visa</t>
  </si>
  <si>
    <t>18+9</t>
  </si>
  <si>
    <t>received zeeshan account</t>
  </si>
  <si>
    <t>muhamamd asif &amp; Fauzia asif</t>
  </si>
  <si>
    <t xml:space="preserve">hardwear </t>
  </si>
  <si>
    <t>22/06/2025</t>
  </si>
  <si>
    <t>wajahat shafiq</t>
  </si>
  <si>
    <t>25/06/2025</t>
  </si>
  <si>
    <t>Mishal</t>
  </si>
  <si>
    <t xml:space="preserve">Noman kazmi </t>
  </si>
  <si>
    <t xml:space="preserve">different dates </t>
  </si>
  <si>
    <t xml:space="preserve">Rayan </t>
  </si>
  <si>
    <t>lunch</t>
  </si>
  <si>
    <t xml:space="preserve">month of june </t>
  </si>
  <si>
    <t>zeeshan/ kamal</t>
  </si>
  <si>
    <t>kamal paid 2320</t>
  </si>
  <si>
    <t>zeeshan paid 9050</t>
  </si>
  <si>
    <t>hibba</t>
  </si>
  <si>
    <t>hardwear phone</t>
  </si>
  <si>
    <t>20/06/2025</t>
  </si>
  <si>
    <t>saeed ahmad</t>
  </si>
  <si>
    <t xml:space="preserve">hardwear laptop </t>
  </si>
  <si>
    <t xml:space="preserve">saqib ramzan </t>
  </si>
  <si>
    <t xml:space="preserve">                                         13/06/2025</t>
  </si>
  <si>
    <t xml:space="preserve">waqas refique </t>
  </si>
  <si>
    <t xml:space="preserve">                                       16/06/2025 </t>
  </si>
  <si>
    <t xml:space="preserve">nasir iqbal </t>
  </si>
  <si>
    <t xml:space="preserve">Malaysia </t>
  </si>
  <si>
    <t>18/06/2025</t>
  </si>
  <si>
    <t>wasif ullah khan</t>
  </si>
  <si>
    <t xml:space="preserve">spain appointment kazmi bls </t>
  </si>
  <si>
    <t xml:space="preserve">                                   15/06/2025</t>
  </si>
  <si>
    <t xml:space="preserve">Raja shahzaib sultan </t>
  </si>
  <si>
    <t>10k remaning shahzaib bahi</t>
  </si>
  <si>
    <t>Healon</t>
  </si>
  <si>
    <t xml:space="preserve">appointment/profiling </t>
  </si>
  <si>
    <t xml:space="preserve">received kamal express account </t>
  </si>
  <si>
    <t>M saim jan</t>
  </si>
  <si>
    <t xml:space="preserve">italy </t>
  </si>
  <si>
    <t>salman shah</t>
  </si>
  <si>
    <t>study appointment</t>
  </si>
  <si>
    <t>mujeeb ullah zahoor</t>
  </si>
  <si>
    <t xml:space="preserve">Singapore </t>
  </si>
  <si>
    <t>Ray Muhmmad Ahmad</t>
  </si>
  <si>
    <t>Ray Muhmmad Usman</t>
  </si>
  <si>
    <t>Ayesha Anwar</t>
  </si>
  <si>
    <t>Zaha Mujeeb</t>
  </si>
  <si>
    <t xml:space="preserve">zeeshan received </t>
  </si>
  <si>
    <t>from kamal ahmed</t>
  </si>
  <si>
    <t xml:space="preserve">kamal received </t>
  </si>
  <si>
    <t>from zeeshan siddique</t>
  </si>
  <si>
    <t xml:space="preserve">       16/06/2025</t>
  </si>
  <si>
    <t xml:space="preserve">feom zeeshan account </t>
  </si>
  <si>
    <t>JULY 2025 SALE</t>
  </si>
  <si>
    <t xml:space="preserve">Grocery </t>
  </si>
  <si>
    <t xml:space="preserve">Ali Raza </t>
  </si>
  <si>
    <t xml:space="preserve">New Zealand </t>
  </si>
  <si>
    <t xml:space="preserve">Adam jee insurance </t>
  </si>
  <si>
    <t xml:space="preserve">kamal bahi account </t>
  </si>
  <si>
    <t>shahroze &amp; Mishaal</t>
  </si>
  <si>
    <t>zohaib</t>
  </si>
  <si>
    <t>42000+800 ins</t>
  </si>
  <si>
    <t>18/07/2025</t>
  </si>
  <si>
    <t>Husanain ali</t>
  </si>
  <si>
    <t>turkey</t>
  </si>
  <si>
    <t>15/07/2025</t>
  </si>
  <si>
    <t xml:space="preserve">kamal express &amp; holidays </t>
  </si>
  <si>
    <t xml:space="preserve">file </t>
  </si>
  <si>
    <t>water bill plaza</t>
  </si>
  <si>
    <t xml:space="preserve">Imran </t>
  </si>
  <si>
    <t>21/07/2025</t>
  </si>
  <si>
    <t xml:space="preserve">Tanveer </t>
  </si>
  <si>
    <t xml:space="preserve">(MOFA) Appostile </t>
  </si>
  <si>
    <t xml:space="preserve">kamal sir cash </t>
  </si>
  <si>
    <t>PTCL bill</t>
  </si>
  <si>
    <t>Aroosa junaid</t>
  </si>
  <si>
    <t>italy</t>
  </si>
  <si>
    <t>24/07/2025</t>
  </si>
  <si>
    <t>waleed</t>
  </si>
  <si>
    <t xml:space="preserve">Appointment </t>
  </si>
  <si>
    <t>Zeeshan account</t>
  </si>
  <si>
    <t xml:space="preserve">125000 kamal bahi account </t>
  </si>
  <si>
    <t>zahid mehmood</t>
  </si>
  <si>
    <t xml:space="preserve">15000 kamal bahi account </t>
  </si>
  <si>
    <t>meeting E11</t>
  </si>
  <si>
    <t>28/07/2025</t>
  </si>
  <si>
    <t xml:space="preserve">Ac cost </t>
  </si>
  <si>
    <t xml:space="preserve">Different dates july </t>
  </si>
  <si>
    <t xml:space="preserve">Laptop cabel </t>
  </si>
  <si>
    <t xml:space="preserve">TCS </t>
  </si>
  <si>
    <t xml:space="preserve">07/02 july 2025 </t>
  </si>
  <si>
    <t>talha italy boot</t>
  </si>
  <si>
    <t xml:space="preserve">lunch </t>
  </si>
  <si>
    <t xml:space="preserve">july </t>
  </si>
  <si>
    <t>zeeshan &amp; kamal</t>
  </si>
  <si>
    <t xml:space="preserve">2210 kamal </t>
  </si>
  <si>
    <t xml:space="preserve">12046 Zeeshan </t>
  </si>
  <si>
    <t>ZEESHAN</t>
  </si>
  <si>
    <t>Meeting + app boot</t>
  </si>
  <si>
    <t>KAMAL</t>
  </si>
  <si>
    <t>app boot</t>
  </si>
  <si>
    <t>AUG 2025 SALE</t>
  </si>
  <si>
    <t>items</t>
  </si>
  <si>
    <t>date</t>
  </si>
  <si>
    <t>zeeshan / kamal</t>
  </si>
  <si>
    <t>Jamala sahib &amp; jan shabir</t>
  </si>
  <si>
    <t xml:space="preserve">zeeshan account </t>
  </si>
  <si>
    <t>printer tonar</t>
  </si>
  <si>
    <t>haseeb hussain shah</t>
  </si>
  <si>
    <t>south Africa</t>
  </si>
  <si>
    <t xml:space="preserve">Kamal account </t>
  </si>
  <si>
    <t>noman kazmi</t>
  </si>
  <si>
    <t>file</t>
  </si>
  <si>
    <t>2300 ins</t>
  </si>
  <si>
    <t>5700 , 2000 zeeshan</t>
  </si>
  <si>
    <t>1350 paid kamal 6257 zeeshan</t>
  </si>
  <si>
    <t>safia malik</t>
  </si>
  <si>
    <t>26/08/2025</t>
  </si>
  <si>
    <t>skyline holiday</t>
  </si>
  <si>
    <t xml:space="preserve">ayesha khattak </t>
  </si>
  <si>
    <t>turkey e visa</t>
  </si>
  <si>
    <t>13/08/2025</t>
  </si>
  <si>
    <t>S</t>
  </si>
  <si>
    <t xml:space="preserve">kamal account </t>
  </si>
  <si>
    <t>15/08/2025</t>
  </si>
  <si>
    <t>19/08/2025</t>
  </si>
  <si>
    <t xml:space="preserve">zeesan/kamal </t>
  </si>
  <si>
    <t xml:space="preserve">2130 paid kamal 11813 zeeshan </t>
  </si>
  <si>
    <t>SEP 2025 SALE</t>
  </si>
  <si>
    <t xml:space="preserve">Hungary </t>
  </si>
  <si>
    <t>shabeer bahi</t>
  </si>
  <si>
    <t>payment received zeeshan `</t>
  </si>
  <si>
    <t xml:space="preserve">appointment + visa file </t>
  </si>
  <si>
    <t>03/22/sep 2025</t>
  </si>
  <si>
    <t>Muhammad Salman khan</t>
  </si>
  <si>
    <t xml:space="preserve">France </t>
  </si>
  <si>
    <t xml:space="preserve">payment kamal account </t>
  </si>
  <si>
    <t xml:space="preserve">payment done kamal/zeeshan </t>
  </si>
  <si>
    <t xml:space="preserve">sep </t>
  </si>
  <si>
    <t xml:space="preserve">5340 paid kamal 13430 paid zeeshan </t>
  </si>
  <si>
    <t>26/09/2025</t>
  </si>
  <si>
    <t xml:space="preserve">payment zeeshan account </t>
  </si>
  <si>
    <t>ISECO</t>
  </si>
  <si>
    <t xml:space="preserve">Muhammad fayyaz +2 </t>
  </si>
  <si>
    <t xml:space="preserve">Bulgaria </t>
  </si>
  <si>
    <t>22/09/2025</t>
  </si>
  <si>
    <t>naeem</t>
  </si>
  <si>
    <t>payment received kamal</t>
  </si>
  <si>
    <t xml:space="preserve">chair repare </t>
  </si>
  <si>
    <t xml:space="preserve">washroom clean </t>
  </si>
  <si>
    <t>dinner f10</t>
  </si>
  <si>
    <t>24/09/2025</t>
  </si>
  <si>
    <t>OCT 2025 SALE</t>
  </si>
  <si>
    <t xml:space="preserve">Muhammad yasser </t>
  </si>
  <si>
    <t>payment received kamal bahi account</t>
  </si>
  <si>
    <t xml:space="preserve">Asad Mehmood </t>
  </si>
  <si>
    <t xml:space="preserve">payment received cash </t>
  </si>
  <si>
    <t>17/10/2025</t>
  </si>
  <si>
    <t>Rasoolan bibi</t>
  </si>
  <si>
    <t>14/10/2025</t>
  </si>
  <si>
    <t>Payment received zeeshan ubl</t>
  </si>
  <si>
    <t xml:space="preserve">60k profit 20k tra kamal bahi </t>
  </si>
  <si>
    <t>iseco</t>
  </si>
  <si>
    <t>27/10/2025</t>
  </si>
  <si>
    <t>Grocery</t>
  </si>
  <si>
    <t>japan</t>
  </si>
  <si>
    <t>16/10/2025</t>
  </si>
  <si>
    <t xml:space="preserve">ticket booking </t>
  </si>
  <si>
    <t>Payment received zeeshan faysal bank</t>
  </si>
  <si>
    <t>electronic catel</t>
  </si>
  <si>
    <t>30/10/2025</t>
  </si>
  <si>
    <t xml:space="preserve">asif ali </t>
  </si>
  <si>
    <t>german</t>
  </si>
  <si>
    <t>28/10/2025</t>
  </si>
  <si>
    <t xml:space="preserve">visa file </t>
  </si>
  <si>
    <t xml:space="preserve">20k pay kamal bahi 26 oct </t>
  </si>
  <si>
    <t>Lunch</t>
  </si>
  <si>
    <t>Muhammad hafeez</t>
  </si>
  <si>
    <t xml:space="preserve">extra item </t>
  </si>
  <si>
    <t>Umar farooq</t>
  </si>
  <si>
    <t>poland</t>
  </si>
  <si>
    <t>shabber</t>
  </si>
  <si>
    <t xml:space="preserve">payment receuved zeeshan faysal bank </t>
  </si>
  <si>
    <t xml:space="preserve">Abdul sammad khan </t>
  </si>
  <si>
    <t>29/10/2025</t>
  </si>
  <si>
    <t>awais</t>
  </si>
  <si>
    <t xml:space="preserve">30k pay zeeshan </t>
  </si>
  <si>
    <t xml:space="preserve">Nabia farrah </t>
  </si>
  <si>
    <t>31/10/2025</t>
  </si>
  <si>
    <t xml:space="preserve">ticket date change </t>
  </si>
  <si>
    <t xml:space="preserve">payment received zeeshan ubl </t>
  </si>
  <si>
    <t xml:space="preserve">hotel charges </t>
  </si>
  <si>
    <t>payment received zeeshan ubl</t>
  </si>
  <si>
    <t>NOV 2025 SALE</t>
  </si>
  <si>
    <t>payment received zeeshan faysal bank</t>
  </si>
  <si>
    <t>12k pay kamal sir 08/nov</t>
  </si>
  <si>
    <t>13/11/2025</t>
  </si>
  <si>
    <t xml:space="preserve">Asif </t>
  </si>
  <si>
    <t>Serbia work visa</t>
  </si>
  <si>
    <t xml:space="preserve">Payment received zeeshan cash </t>
  </si>
  <si>
    <t>24/11/2025</t>
  </si>
  <si>
    <t>M jahanger mazhar</t>
  </si>
  <si>
    <t>14/11/2025</t>
  </si>
  <si>
    <t>usman fazil</t>
  </si>
  <si>
    <t>28/11/2025</t>
  </si>
  <si>
    <t>karachi</t>
  </si>
  <si>
    <t xml:space="preserve">visit visa </t>
  </si>
  <si>
    <t xml:space="preserve">payment received kamal account </t>
  </si>
  <si>
    <t>zeeshan/Kamal</t>
  </si>
  <si>
    <t xml:space="preserve">1800 Kamal sir / 15520 zeeshan </t>
  </si>
  <si>
    <t>khwaja haider farooq</t>
  </si>
  <si>
    <t>DEC 2025 SALE</t>
  </si>
  <si>
    <t>saqib (HMN HOLIDAYS)</t>
  </si>
  <si>
    <t xml:space="preserve">Ticket </t>
  </si>
  <si>
    <t>paid saqib dated 03/12/2025</t>
  </si>
  <si>
    <t>20/12/2025</t>
  </si>
  <si>
    <t xml:space="preserve">Shabber </t>
  </si>
  <si>
    <t>Paid sabber dated 04/12/2025</t>
  </si>
  <si>
    <t xml:space="preserve">Water </t>
  </si>
  <si>
    <t>Raja ayaz khalid</t>
  </si>
  <si>
    <t>09/12/20255</t>
  </si>
  <si>
    <t>Salma bibi</t>
  </si>
  <si>
    <t xml:space="preserve">payment remaning shabber </t>
  </si>
  <si>
    <t xml:space="preserve">8380 zeeshan / 380 kamal sir </t>
  </si>
  <si>
    <t xml:space="preserve">Tayyab aslam </t>
  </si>
  <si>
    <t xml:space="preserve">ahsan latif </t>
  </si>
  <si>
    <t>Paid ahsan latif 09/12/2025</t>
  </si>
  <si>
    <t xml:space="preserve">jahangir docuuments </t>
  </si>
  <si>
    <t xml:space="preserve">UAE </t>
  </si>
  <si>
    <t xml:space="preserve">Sajjad diplomatic </t>
  </si>
  <si>
    <t>attestation</t>
  </si>
  <si>
    <t>paid sajjad dated 12/12/2025</t>
  </si>
  <si>
    <t xml:space="preserve">shakir &amp; kainat </t>
  </si>
  <si>
    <t xml:space="preserve">Indonesia </t>
  </si>
  <si>
    <t>16/12/2025</t>
  </si>
  <si>
    <t>wasif</t>
  </si>
  <si>
    <t>paid kamal bahi 18/12/2025</t>
  </si>
  <si>
    <t xml:space="preserve">awais iqbal khan </t>
  </si>
  <si>
    <t>paid kamal bahi  18/12/2025</t>
  </si>
  <si>
    <t>syed mahmood hussain</t>
  </si>
  <si>
    <t xml:space="preserve">ethopia </t>
  </si>
  <si>
    <t>17/12/2025</t>
  </si>
  <si>
    <t xml:space="preserve">Awais/ anita </t>
  </si>
  <si>
    <t>indonesia/malaysia</t>
  </si>
  <si>
    <t>paid wasif</t>
  </si>
  <si>
    <t>Rozi / shumail</t>
  </si>
  <si>
    <t xml:space="preserve">baku/indonesia </t>
  </si>
  <si>
    <t>wasif/kamal express</t>
  </si>
  <si>
    <t xml:space="preserve">paid wasif / kamal express </t>
  </si>
  <si>
    <t>10,000 Paid kamal bahi</t>
  </si>
  <si>
    <t>22/12/2025</t>
  </si>
  <si>
    <t xml:space="preserve">Humais bahi </t>
  </si>
  <si>
    <t>Paid to humais bahi 31/12/2025</t>
  </si>
  <si>
    <t xml:space="preserve">17500 paid tayyab salary </t>
  </si>
  <si>
    <t>Nadia zafar</t>
  </si>
  <si>
    <t>schengen</t>
  </si>
  <si>
    <t>19/12/2025</t>
  </si>
  <si>
    <t>Abu bakar/aqib</t>
  </si>
  <si>
    <t xml:space="preserve">translation and appostile </t>
  </si>
  <si>
    <t>paid aqib and abu bakar</t>
  </si>
  <si>
    <t>Column</t>
  </si>
  <si>
    <t>Header</t>
  </si>
  <si>
    <t>Type / Format</t>
  </si>
  <si>
    <t>Description / Example</t>
  </si>
  <si>
    <t>**A**</t>
  </si>
  <si>
    <t>`Transaction Date`</t>
  </si>
  <si>
    <t>Date (`YYYY-MM-DD`)</t>
  </si>
  <si>
    <t>Date invoice or service initiated</t>
  </si>
  <si>
    <t>**B**</t>
  </si>
  <si>
    <t>`Serial No.`</t>
  </si>
  <si>
    <t>Number / ID</t>
  </si>
  <si>
    <t>Unique job identifier (`1`, `2`, `3`...)</t>
  </si>
  <si>
    <t>**C**</t>
  </si>
  <si>
    <t>`Client Name`</t>
  </si>
  <si>
    <t>Plain Text</t>
  </si>
  <si>
    <t>e.g., `Usman`, `Hussain Ali Hashmi`</t>
  </si>
  <si>
    <t>**D**</t>
  </si>
  <si>
    <t>`Care Of (Agent)`</t>
  </si>
  <si>
    <t>Dropdown</t>
  </si>
  <si>
    <t>`Zeeshan`, `Kamal`, etc.</t>
  </si>
  <si>
    <t>**E**</t>
  </si>
  <si>
    <t>`Country`</t>
  </si>
  <si>
    <t>`Germany`, `Singapore`, `Belgium`</t>
  </si>
  <si>
    <t>**F**</t>
  </si>
  <si>
    <t>`Service`</t>
  </si>
  <si>
    <t>Dropdown / Text</t>
  </si>
  <si>
    <t>`Profile`, `Visa`, `Work Visa Appointment`</t>
  </si>
  <si>
    <t>**G**</t>
  </si>
  <si>
    <t>`Vendor`</t>
  </si>
  <si>
    <t>`Nawander`, `Fakhar`, `Nomi`, `Adamjee`</t>
  </si>
  <si>
    <t>**H**</t>
  </si>
  <si>
    <t>`Total Invoiced (PKR)`</t>
  </si>
  <si>
    <t>Currency / Number</t>
  </si>
  <si>
    <t>Total price agreed with client</t>
  </si>
  <si>
    <t>**I**</t>
  </si>
  <si>
    <t>`Received Amount (PKR)`</t>
  </si>
  <si>
    <t>Actual cash/bank received from client</t>
  </si>
  <si>
    <t>**J**</t>
  </si>
  <si>
    <t>`Receivable Balance`</t>
  </si>
  <si>
    <t>Formula</t>
  </si>
  <si>
    <t>`=H2-I2`</t>
  </si>
  <si>
    <t>**K**</t>
  </si>
  <si>
    <t>`Vendor Cost / Payable`</t>
  </si>
  <si>
    <t>Amount payable to vendor</t>
  </si>
  <si>
    <t>**L**</t>
  </si>
  <si>
    <t>`Vendor Paid Status`</t>
  </si>
  <si>
    <t>`Paid`, `Pending`, `Partial`</t>
  </si>
  <si>
    <t>**M**</t>
  </si>
  <si>
    <t>`Gross Profit (PKR)`</t>
  </si>
  <si>
    <t>`=I2-K2`</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</si>
</sst>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quot;PKR &quot;#,##0"/>
    <numFmt numFmtId="166" formatCode="0.0%"/>
    <numFmt numFmtId="167" formatCode="D/M/YYYY"/>
  </numFmts>
  <fonts count="31">
    <font>
      <sz val="11.0"/>
      <color theme="1"/>
      <name val="Calibri"/>
      <scheme val="minor"/>
    </font>
    <font>
      <color rgb="FF0842A0"/>
      <name val="&quot;Google Sans Mono&quot;"/>
    </font>
    <font>
      <b/>
      <sz val="13.0"/>
      <color rgb="FFFFFFFF"/>
      <name val="Calibri"/>
      <scheme val="minor"/>
    </font>
    <font>
      <color rgb="FF444746"/>
      <name val="&quot;Google Sans Mono&quot;"/>
    </font>
    <font>
      <b/>
      <sz val="10.0"/>
      <color rgb="FFFFFFFF"/>
      <name val="Calibri"/>
      <scheme val="minor"/>
    </font>
    <font>
      <b/>
      <sz val="10.0"/>
      <color rgb="FF1E3989"/>
      <name val="Calibri"/>
      <scheme val="minor"/>
    </font>
    <font>
      <b/>
      <sz val="9.0"/>
      <color rgb="FF334154"/>
      <name val="Calibri"/>
      <scheme val="minor"/>
    </font>
    <font>
      <color theme="1"/>
      <name val="Calibri"/>
      <scheme val="minor"/>
    </font>
    <font>
      <b/>
      <color theme="1"/>
      <name val="Calibri"/>
      <scheme val="minor"/>
    </font>
    <font>
      <b/>
      <sz val="13.0"/>
      <color rgb="FF0F162A"/>
      <name val="Calibri"/>
      <scheme val="minor"/>
    </font>
    <font>
      <b/>
      <sz val="11.0"/>
      <color theme="1"/>
      <name val="Calibri"/>
    </font>
    <font>
      <b/>
      <u/>
      <sz val="20.0"/>
      <color rgb="FFFF0000"/>
      <name val="Times New Roman"/>
    </font>
    <font/>
    <font>
      <b/>
      <u/>
      <sz val="12.0"/>
      <color theme="1"/>
      <name val="Calibri"/>
    </font>
    <font>
      <b/>
      <i/>
      <u/>
      <sz val="22.0"/>
      <color rgb="FFFF0000"/>
      <name val="Times New Roman"/>
    </font>
    <font>
      <sz val="11.0"/>
      <color theme="1"/>
      <name val="Calibri"/>
    </font>
    <font>
      <b/>
      <u/>
      <sz val="12.0"/>
      <color theme="1"/>
      <name val="Calibri"/>
    </font>
    <font>
      <b/>
      <u/>
      <sz val="12.0"/>
      <color theme="1"/>
      <name val="Calibri"/>
    </font>
    <font>
      <b/>
      <u/>
      <sz val="12.0"/>
      <color theme="1"/>
      <name val="Calibri"/>
    </font>
    <font>
      <b/>
      <u/>
      <sz val="12.0"/>
      <color theme="1"/>
      <name val="Calibri"/>
    </font>
    <font>
      <sz val="11.0"/>
      <color theme="1"/>
      <name val="Times New Roman"/>
    </font>
    <font>
      <sz val="28.0"/>
      <color theme="1"/>
      <name val="Times New Roman"/>
    </font>
    <font>
      <b/>
      <sz val="14.0"/>
      <color theme="1"/>
      <name val="Times New Roman"/>
    </font>
    <font>
      <b/>
      <sz val="12.0"/>
      <color theme="1"/>
      <name val="Calibri"/>
    </font>
    <font>
      <b/>
      <sz val="12.0"/>
      <color theme="1"/>
      <name val="Times New Roman"/>
    </font>
    <font>
      <b/>
      <sz val="11.0"/>
      <color theme="1"/>
      <name val="Times New Roman"/>
    </font>
    <font>
      <b/>
      <u/>
      <sz val="12.0"/>
      <color theme="1"/>
      <name val="Times New Roman"/>
    </font>
    <font>
      <b/>
      <u/>
      <sz val="12.0"/>
      <color theme="1"/>
      <name val="Times New Roman"/>
    </font>
    <font>
      <b/>
      <u/>
      <sz val="12.0"/>
      <color theme="1"/>
      <name val="Times New Roman"/>
    </font>
    <font>
      <b/>
      <sz val="11.0"/>
      <color rgb="FF548135"/>
      <name val="Times New Roman"/>
    </font>
    <font>
      <b/>
      <sz val="28.0"/>
      <color theme="1"/>
      <name val="Times New Roman"/>
    </font>
  </fonts>
  <fills count="13">
    <fill>
      <patternFill patternType="none"/>
    </fill>
    <fill>
      <patternFill patternType="lightGray"/>
    </fill>
    <fill>
      <patternFill patternType="solid">
        <fgColor rgb="FFD3E3FD"/>
        <bgColor rgb="FFD3E3FD"/>
      </patternFill>
    </fill>
    <fill>
      <patternFill patternType="solid">
        <fgColor rgb="FF1E3989"/>
        <bgColor rgb="FF1E3989"/>
      </patternFill>
    </fill>
    <fill>
      <patternFill patternType="solid">
        <fgColor rgb="FFDDE3EA"/>
        <bgColor rgb="FFDDE3EA"/>
      </patternFill>
    </fill>
    <fill>
      <patternFill patternType="solid">
        <fgColor rgb="FFFFFFFF"/>
        <bgColor rgb="FFFFFFFF"/>
      </patternFill>
    </fill>
    <fill>
      <patternFill patternType="solid">
        <fgColor rgb="FFF0F5F8"/>
        <bgColor rgb="FFF0F5F8"/>
      </patternFill>
    </fill>
    <fill>
      <patternFill patternType="solid">
        <fgColor rgb="FFF8F9FB"/>
        <bgColor rgb="FFF8F9FB"/>
      </patternFill>
    </fill>
    <fill>
      <patternFill patternType="solid">
        <fgColor rgb="FFFFFF00"/>
        <bgColor rgb="FFFFFF00"/>
      </patternFill>
    </fill>
    <fill>
      <patternFill patternType="solid">
        <fgColor theme="0"/>
        <bgColor theme="0"/>
      </patternFill>
    </fill>
    <fill>
      <patternFill patternType="solid">
        <fgColor rgb="FFFF0000"/>
        <bgColor rgb="FFFF0000"/>
      </patternFill>
    </fill>
    <fill>
      <patternFill patternType="solid">
        <fgColor rgb="FFDC3939"/>
        <bgColor rgb="FFDC3939"/>
      </patternFill>
    </fill>
    <fill>
      <patternFill patternType="solid">
        <fgColor rgb="FF92D050"/>
        <bgColor rgb="FF92D050"/>
      </patternFill>
    </fill>
  </fills>
  <borders count="55">
    <border/>
    <border>
      <left style="thin">
        <color rgb="FFCCCCCC"/>
      </left>
      <right style="thin">
        <color rgb="FFCCCCCC"/>
      </right>
      <top style="thin">
        <color rgb="FFCCCCCC"/>
      </top>
      <bottom style="thin">
        <color rgb="FFCCCCCC"/>
      </bottom>
    </border>
    <border>
      <top>
        <color rgb="FF999999"/>
      </top>
      <bottom>
        <color rgb="FF333333"/>
      </bottom>
    </border>
    <border>
      <top style="thin">
        <color rgb="FFB2B2B2"/>
      </top>
      <bottom style="double">
        <color rgb="FF333333"/>
      </bottom>
    </border>
    <border>
      <top style="thin">
        <color rgb="FF999999"/>
      </top>
      <bottom style="double">
        <color rgb="FF333333"/>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top/>
      <bottom/>
    </border>
    <border>
      <top/>
      <bottom/>
    </border>
    <border>
      <right/>
      <top/>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top/>
    </border>
    <border>
      <top/>
    </border>
    <border>
      <right/>
      <top/>
    </border>
    <border>
      <left/>
    </border>
    <border>
      <right/>
    </border>
    <border>
      <left/>
      <bottom/>
    </border>
    <border>
      <bottom/>
    </border>
    <border>
      <right/>
      <bottom/>
    </border>
    <border>
      <left style="thin">
        <color rgb="FF000000"/>
      </left>
      <right style="thin">
        <color rgb="FF000000"/>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FF0000"/>
      </left>
      <right style="thin">
        <color rgb="FF000000"/>
      </right>
      <top style="thin">
        <color rgb="FFFF0000"/>
      </top>
      <bottom style="thin">
        <color rgb="FF000000"/>
      </bottom>
    </border>
    <border>
      <left style="thin">
        <color rgb="FF000000"/>
      </left>
      <right style="thin">
        <color rgb="FF000000"/>
      </right>
      <top style="thin">
        <color rgb="FFFF0000"/>
      </top>
      <bottom style="thin">
        <color rgb="FF000000"/>
      </bottom>
    </border>
    <border>
      <left style="thin">
        <color rgb="FF000000"/>
      </left>
      <right style="thin">
        <color rgb="FFFF0000"/>
      </right>
      <top style="thin">
        <color rgb="FFFF0000"/>
      </top>
      <bottom style="thin">
        <color rgb="FF000000"/>
      </bottom>
    </border>
    <border>
      <left style="thin">
        <color rgb="FFFF0000"/>
      </left>
      <right style="thin">
        <color rgb="FF000000"/>
      </right>
      <top style="thin">
        <color rgb="FF000000"/>
      </top>
      <bottom style="thin">
        <color rgb="FF000000"/>
      </bottom>
    </border>
    <border>
      <left style="thin">
        <color rgb="FF000000"/>
      </left>
      <right style="thin">
        <color rgb="FFFF0000"/>
      </right>
      <top style="thin">
        <color rgb="FF000000"/>
      </top>
      <bottom style="thin">
        <color rgb="FF000000"/>
      </bottom>
    </border>
    <border>
      <left style="thin">
        <color rgb="FFFF0000"/>
      </left>
      <right style="thin">
        <color rgb="FF000000"/>
      </right>
      <top style="thin">
        <color rgb="FF000000"/>
      </top>
      <bottom/>
    </border>
    <border>
      <left style="thin">
        <color rgb="FF000000"/>
      </left>
      <right style="thin">
        <color rgb="FFFF0000"/>
      </right>
      <top style="thin">
        <color rgb="FF000000"/>
      </top>
      <bottom/>
    </border>
    <border>
      <left style="thin">
        <color rgb="FFFF0000"/>
      </left>
      <right style="thin">
        <color rgb="FF000000"/>
      </right>
      <top style="thin">
        <color rgb="FF000000"/>
      </top>
      <bottom style="thin">
        <color rgb="FFFF0000"/>
      </bottom>
    </border>
    <border>
      <left style="thin">
        <color rgb="FF000000"/>
      </left>
      <right style="thin">
        <color rgb="FF000000"/>
      </right>
      <top style="thin">
        <color rgb="FF000000"/>
      </top>
      <bottom style="thin">
        <color rgb="FFFF0000"/>
      </bottom>
    </border>
    <border>
      <left style="thin">
        <color rgb="FF000000"/>
      </left>
      <right style="thin">
        <color rgb="FFFF0000"/>
      </right>
      <top style="thin">
        <color rgb="FF000000"/>
      </top>
      <bottom style="thin">
        <color rgb="FFFF0000"/>
      </bottom>
    </border>
    <border>
      <left style="thin">
        <color rgb="FF000000"/>
      </left>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horizontal="center" readingOrder="0" vertical="center"/>
    </xf>
    <xf borderId="0" fillId="4" fontId="3" numFmtId="0" xfId="0" applyAlignment="1" applyFill="1" applyFont="1">
      <alignment readingOrder="0"/>
    </xf>
    <xf borderId="0" fillId="3" fontId="4" numFmtId="0" xfId="0" applyAlignment="1" applyFill="1" applyFont="1">
      <alignment horizontal="right" readingOrder="0" vertical="center"/>
    </xf>
    <xf borderId="0" fillId="2" fontId="1" numFmtId="0" xfId="0" applyFill="1" applyFont="1"/>
    <xf borderId="0" fillId="3" fontId="4" numFmtId="0" xfId="0" applyAlignment="1" applyFill="1" applyFont="1">
      <alignment readingOrder="0" vertical="center"/>
    </xf>
    <xf borderId="1" fillId="5" fontId="5" numFmtId="0" xfId="0" applyAlignment="1" applyBorder="1" applyFill="1" applyFont="1">
      <alignment horizontal="center" readingOrder="0" vertical="center"/>
    </xf>
    <xf borderId="0" fillId="6" fontId="6" numFmtId="0" xfId="0" applyAlignment="1" applyFill="1" applyFont="1">
      <alignment horizontal="center" readingOrder="0" vertical="center"/>
    </xf>
    <xf borderId="0" fillId="0" fontId="7" numFmtId="164" xfId="0" applyAlignment="1" applyFont="1" applyNumberFormat="1">
      <alignment horizontal="center" readingOrder="0"/>
    </xf>
    <xf borderId="0" fillId="0" fontId="7" numFmtId="0" xfId="0" applyAlignment="1" applyFont="1">
      <alignment readingOrder="0"/>
    </xf>
    <xf borderId="0" fillId="0" fontId="7" numFmtId="165" xfId="0" applyAlignment="1" applyFont="1" applyNumberFormat="1">
      <alignment horizontal="right" readingOrder="0"/>
    </xf>
    <xf borderId="0" fillId="0" fontId="7" numFmtId="0" xfId="0" applyAlignment="1" applyFont="1">
      <alignment horizontal="center" readingOrder="0"/>
    </xf>
    <xf borderId="0" fillId="0" fontId="7" numFmtId="164" xfId="0" applyAlignment="1" applyBorder="1" applyFont="1" applyNumberFormat="1">
      <alignment horizontal="center" readingOrder="0"/>
    </xf>
    <xf borderId="0" fillId="0" fontId="7" numFmtId="0" xfId="0" applyAlignment="1" applyBorder="1" applyFont="1">
      <alignment readingOrder="0"/>
    </xf>
    <xf borderId="2" fillId="6" fontId="7" numFmtId="0" xfId="0" applyAlignment="1" applyBorder="1" applyFill="1" applyFont="1">
      <alignment readingOrder="0"/>
    </xf>
    <xf borderId="2" fillId="6" fontId="7" numFmtId="165" xfId="0" applyAlignment="1" applyBorder="1" applyFill="1" applyFont="1" applyNumberFormat="1">
      <alignment horizontal="right" readingOrder="0"/>
    </xf>
    <xf borderId="0" fillId="0" fontId="7" numFmtId="165" xfId="0" applyAlignment="1" applyFont="1" applyNumberFormat="1">
      <alignment horizontal="right"/>
    </xf>
    <xf borderId="0" fillId="0" fontId="7" numFmtId="0" xfId="0" applyAlignment="1" applyBorder="1" applyFont="1">
      <alignment horizontal="center" readingOrder="0"/>
    </xf>
    <xf borderId="0" fillId="0" fontId="7" numFmtId="165" xfId="0" applyAlignment="1" applyBorder="1" applyFont="1" applyNumberFormat="1">
      <alignment horizontal="right" readingOrder="0"/>
    </xf>
    <xf borderId="3" fillId="0" fontId="8" numFmtId="164" xfId="0" applyAlignment="1" applyBorder="1" applyFont="1" applyNumberFormat="1">
      <alignment horizontal="center" readingOrder="0"/>
    </xf>
    <xf borderId="3" fillId="0" fontId="8" numFmtId="0" xfId="0" applyAlignment="1" applyBorder="1" applyFont="1">
      <alignment readingOrder="0"/>
    </xf>
    <xf borderId="3" fillId="0" fontId="8" numFmtId="165" xfId="0" applyAlignment="1" applyBorder="1" applyFont="1" applyNumberFormat="1">
      <alignment horizontal="right" readingOrder="0"/>
    </xf>
    <xf borderId="3" fillId="0" fontId="8" numFmtId="0" xfId="0" applyAlignment="1" applyBorder="1" applyFont="1">
      <alignment horizontal="center" readingOrder="0"/>
    </xf>
    <xf borderId="4" fillId="6" fontId="8" numFmtId="0" xfId="0" applyAlignment="1" applyBorder="1" applyFill="1" applyFont="1">
      <alignment horizontal="center" readingOrder="0"/>
    </xf>
    <xf borderId="4" fillId="6" fontId="8" numFmtId="165" xfId="0" applyAlignment="1" applyBorder="1" applyFill="1" applyFont="1" applyNumberFormat="1">
      <alignment horizontal="right" readingOrder="0"/>
    </xf>
    <xf borderId="0" fillId="0" fontId="7" numFmtId="165" xfId="0" applyAlignment="1" applyFont="1" applyNumberFormat="1">
      <alignment horizontal="right" readingOrder="0"/>
    </xf>
    <xf borderId="3" fillId="0" fontId="8" numFmtId="164" xfId="0" applyAlignment="1" applyBorder="1" applyFont="1" applyNumberFormat="1">
      <alignment horizontal="center"/>
    </xf>
    <xf borderId="3" fillId="0" fontId="8" numFmtId="0" xfId="0" applyAlignment="1" applyBorder="1" applyFont="1">
      <alignment horizontal="center"/>
    </xf>
    <xf borderId="2" fillId="6" fontId="7" numFmtId="0" xfId="0" applyAlignment="1" applyBorder="1" applyFill="1" applyFont="1">
      <alignment horizontal="center" readingOrder="0"/>
    </xf>
    <xf borderId="0" fillId="7" fontId="9" numFmtId="165" xfId="0" applyAlignment="1" applyFill="1" applyFont="1" applyNumberFormat="1">
      <alignment horizontal="center" vertical="center"/>
    </xf>
    <xf borderId="3" fillId="0" fontId="8" numFmtId="165" xfId="0" applyAlignment="1" applyBorder="1" applyFont="1" applyNumberFormat="1">
      <alignment horizontal="right"/>
    </xf>
    <xf borderId="2" fillId="6" fontId="7" numFmtId="164" xfId="0" applyAlignment="1" applyBorder="1" applyFill="1" applyFont="1" applyNumberFormat="1">
      <alignment horizontal="center" readingOrder="0"/>
    </xf>
    <xf borderId="3" fillId="0" fontId="8" numFmtId="0" xfId="0" applyBorder="1" applyFont="1"/>
    <xf borderId="0" fillId="0" fontId="7" numFmtId="164" xfId="0" applyAlignment="1" applyFont="1" applyNumberFormat="1">
      <alignment horizontal="center"/>
    </xf>
    <xf borderId="0" fillId="0" fontId="7" numFmtId="0" xfId="0" applyFont="1"/>
    <xf borderId="0" fillId="0" fontId="7" numFmtId="0" xfId="0" applyAlignment="1" applyFont="1">
      <alignment horizontal="center"/>
    </xf>
    <xf borderId="0" fillId="0" fontId="7" numFmtId="165" xfId="0" applyAlignment="1" applyFont="1" applyNumberFormat="1">
      <alignment horizontal="right"/>
    </xf>
    <xf borderId="2" fillId="6" fontId="7" numFmtId="165" xfId="0" applyAlignment="1" applyBorder="1" applyFill="1" applyFont="1" applyNumberFormat="1">
      <alignment horizontal="right"/>
    </xf>
    <xf borderId="0" fillId="0" fontId="7" numFmtId="165" xfId="0" applyAlignment="1" applyBorder="1" applyFont="1" applyNumberFormat="1">
      <alignment horizontal="right"/>
    </xf>
    <xf borderId="3" fillId="0" fontId="8" numFmtId="165" xfId="0" applyAlignment="1" applyBorder="1" applyFont="1" applyNumberFormat="1">
      <alignment horizontal="right"/>
    </xf>
    <xf borderId="0" fillId="0" fontId="10" numFmtId="0" xfId="0" applyFont="1"/>
    <xf borderId="5" fillId="8" fontId="11" numFmtId="0" xfId="0" applyAlignment="1" applyBorder="1" applyFill="1" applyFont="1">
      <alignment horizontal="center"/>
    </xf>
    <xf borderId="6" fillId="0" fontId="12" numFmtId="0" xfId="0" applyBorder="1" applyFont="1"/>
    <xf borderId="7" fillId="0" fontId="12" numFmtId="0" xfId="0" applyBorder="1" applyFont="1"/>
    <xf borderId="8" fillId="0" fontId="12" numFmtId="0" xfId="0" applyBorder="1" applyFont="1"/>
    <xf borderId="9" fillId="0" fontId="12" numFmtId="0" xfId="0" applyBorder="1" applyFont="1"/>
    <xf borderId="10" fillId="0" fontId="12" numFmtId="0" xfId="0" applyBorder="1" applyFont="1"/>
    <xf borderId="11" fillId="8" fontId="13" numFmtId="0" xfId="0" applyBorder="1" applyFill="1" applyFont="1"/>
    <xf borderId="11" fillId="0" fontId="10" numFmtId="0" xfId="0" applyBorder="1" applyFont="1"/>
    <xf borderId="12" fillId="8" fontId="10" numFmtId="0" xfId="0" applyBorder="1" applyFill="1" applyFont="1"/>
    <xf borderId="11" fillId="8" fontId="10" numFmtId="0" xfId="0" applyBorder="1" applyFill="1" applyFont="1"/>
    <xf borderId="11" fillId="8" fontId="10" numFmtId="0" xfId="0" applyAlignment="1" applyBorder="1" applyFill="1" applyFont="1">
      <alignment vertical="top"/>
    </xf>
    <xf borderId="0" fillId="0" fontId="10" numFmtId="0" xfId="0" applyAlignment="1" applyFont="1">
      <alignment horizontal="center"/>
    </xf>
    <xf borderId="5" fillId="8" fontId="14" numFmtId="0" xfId="0" applyAlignment="1" applyBorder="1" applyFill="1" applyFont="1">
      <alignment horizontal="center"/>
    </xf>
    <xf borderId="11" fillId="9" fontId="15" numFmtId="0" xfId="0" applyBorder="1" applyFill="1" applyFont="1"/>
    <xf borderId="12" fillId="8" fontId="16" numFmtId="0" xfId="0" applyBorder="1" applyFill="1" applyFont="1"/>
    <xf borderId="13" fillId="8" fontId="17" numFmtId="0" xfId="0" applyBorder="1" applyFill="1" applyFont="1"/>
    <xf borderId="11" fillId="9" fontId="18" numFmtId="0" xfId="0" applyBorder="1" applyFill="1" applyFont="1"/>
    <xf borderId="14" fillId="9" fontId="19" numFmtId="0" xfId="0" applyBorder="1" applyFill="1" applyFont="1"/>
    <xf borderId="11" fillId="10" fontId="10" numFmtId="0" xfId="0" applyBorder="1" applyFill="1" applyFont="1"/>
    <xf borderId="13" fillId="10" fontId="10" numFmtId="0" xfId="0" applyBorder="1" applyFill="1" applyFont="1"/>
    <xf borderId="11" fillId="9" fontId="10" numFmtId="0" xfId="0" applyBorder="1" applyFill="1" applyFont="1"/>
    <xf borderId="12" fillId="10" fontId="10" numFmtId="0" xfId="0" applyBorder="1" applyFill="1" applyFont="1"/>
    <xf borderId="15" fillId="8" fontId="10" numFmtId="0" xfId="0" applyAlignment="1" applyBorder="1" applyFill="1" applyFont="1">
      <alignment horizontal="center"/>
    </xf>
    <xf borderId="16" fillId="0" fontId="12" numFmtId="0" xfId="0" applyBorder="1" applyFont="1"/>
    <xf borderId="17" fillId="0" fontId="12" numFmtId="0" xfId="0" applyBorder="1" applyFont="1"/>
    <xf borderId="18" fillId="0" fontId="10" numFmtId="0" xfId="0" applyBorder="1" applyFont="1"/>
    <xf borderId="11" fillId="0" fontId="15" numFmtId="0" xfId="0" applyBorder="1" applyFont="1"/>
    <xf borderId="19" fillId="8" fontId="10" numFmtId="0" xfId="0" applyAlignment="1" applyBorder="1" applyFill="1" applyFont="1">
      <alignment horizontal="center"/>
    </xf>
    <xf borderId="19" fillId="0" fontId="10" numFmtId="0" xfId="0" applyAlignment="1" applyBorder="1" applyFont="1">
      <alignment horizontal="center"/>
    </xf>
    <xf borderId="19" fillId="9" fontId="10" numFmtId="0" xfId="0" applyAlignment="1" applyBorder="1" applyFill="1" applyFont="1">
      <alignment horizontal="center"/>
    </xf>
    <xf borderId="5" fillId="8" fontId="10" numFmtId="0" xfId="0" applyAlignment="1" applyBorder="1" applyFill="1" applyFont="1">
      <alignment horizontal="center"/>
    </xf>
    <xf borderId="20" fillId="0" fontId="12" numFmtId="0" xfId="0" applyBorder="1" applyFont="1"/>
    <xf borderId="11" fillId="11" fontId="10" numFmtId="0" xfId="0" applyBorder="1" applyFill="1" applyFont="1"/>
    <xf borderId="13" fillId="11" fontId="10" numFmtId="0" xfId="0" applyBorder="1" applyFill="1" applyFont="1"/>
    <xf borderId="11" fillId="0" fontId="15" numFmtId="0" xfId="0" applyAlignment="1" applyBorder="1" applyFont="1">
      <alignment vertical="top"/>
    </xf>
    <xf borderId="0" fillId="0" fontId="20" numFmtId="0" xfId="0" applyFont="1"/>
    <xf borderId="21" fillId="8" fontId="21" numFmtId="0" xfId="0" applyAlignment="1" applyBorder="1" applyFill="1" applyFont="1">
      <alignment horizontal="center"/>
    </xf>
    <xf borderId="22" fillId="0" fontId="12" numFmtId="0" xfId="0" applyBorder="1" applyFont="1"/>
    <xf borderId="23" fillId="0" fontId="12" numFmtId="0" xfId="0" applyBorder="1" applyFont="1"/>
    <xf borderId="24" fillId="0" fontId="12" numFmtId="0" xfId="0" applyBorder="1" applyFont="1"/>
    <xf borderId="25" fillId="0" fontId="12" numFmtId="0" xfId="0" applyBorder="1" applyFont="1"/>
    <xf borderId="26" fillId="0" fontId="12" numFmtId="0" xfId="0" applyBorder="1" applyFont="1"/>
    <xf borderId="27" fillId="0" fontId="12" numFmtId="0" xfId="0" applyBorder="1" applyFont="1"/>
    <xf borderId="28" fillId="0" fontId="12" numFmtId="0" xfId="0" applyBorder="1" applyFont="1"/>
    <xf borderId="21" fillId="8" fontId="22" numFmtId="0" xfId="0" applyAlignment="1" applyBorder="1" applyFill="1" applyFont="1">
      <alignment horizontal="center"/>
    </xf>
    <xf borderId="13" fillId="8" fontId="23" numFmtId="0" xfId="0" applyBorder="1" applyFill="1" applyFont="1"/>
    <xf borderId="11" fillId="8" fontId="24" numFmtId="0" xfId="0" applyBorder="1" applyFill="1" applyFont="1"/>
    <xf borderId="11" fillId="9" fontId="20" numFmtId="0" xfId="0" applyBorder="1" applyFill="1" applyFont="1"/>
    <xf borderId="13" fillId="9" fontId="10" numFmtId="0" xfId="0" applyBorder="1" applyFill="1" applyFont="1"/>
    <xf borderId="11" fillId="8" fontId="25" numFmtId="0" xfId="0" applyBorder="1" applyFill="1" applyFont="1"/>
    <xf borderId="11" fillId="9" fontId="25" numFmtId="0" xfId="0" applyBorder="1" applyFill="1" applyFont="1"/>
    <xf borderId="29" fillId="8" fontId="10" numFmtId="0" xfId="0" applyBorder="1" applyFill="1" applyFont="1"/>
    <xf borderId="18" fillId="0" fontId="10" numFmtId="0" xfId="0" applyAlignment="1" applyBorder="1" applyFont="1">
      <alignment horizontal="center"/>
    </xf>
    <xf borderId="18" fillId="0" fontId="10" numFmtId="0" xfId="0" applyAlignment="1" applyBorder="1" applyFont="1">
      <alignment horizontal="right"/>
    </xf>
    <xf borderId="3" fillId="0" fontId="8" numFmtId="0" xfId="0" applyAlignment="1" applyBorder="1" applyFont="1">
      <alignment readingOrder="0"/>
    </xf>
    <xf borderId="11" fillId="9" fontId="25" numFmtId="0" xfId="0" applyAlignment="1" applyBorder="1" applyFill="1" applyFont="1">
      <alignment horizontal="center"/>
    </xf>
    <xf borderId="11" fillId="9" fontId="10" numFmtId="0" xfId="0" applyAlignment="1" applyBorder="1" applyFill="1" applyFont="1">
      <alignment horizontal="right"/>
    </xf>
    <xf borderId="11" fillId="9" fontId="10" numFmtId="0" xfId="0" applyAlignment="1" applyBorder="1" applyFill="1" applyFont="1">
      <alignment horizontal="center"/>
    </xf>
    <xf borderId="11" fillId="8" fontId="20" numFmtId="0" xfId="0" applyBorder="1" applyFill="1" applyFont="1"/>
    <xf borderId="11" fillId="0" fontId="20" numFmtId="0" xfId="0" applyBorder="1" applyFont="1"/>
    <xf borderId="11" fillId="8" fontId="15" numFmtId="0" xfId="0" applyBorder="1" applyFill="1" applyFont="1"/>
    <xf borderId="30" fillId="8" fontId="24" numFmtId="0" xfId="0" applyAlignment="1" applyBorder="1" applyFill="1" applyFont="1">
      <alignment horizontal="center"/>
    </xf>
    <xf borderId="31" fillId="0" fontId="12" numFmtId="0" xfId="0" applyBorder="1" applyFont="1"/>
    <xf borderId="32" fillId="0" fontId="12" numFmtId="0" xfId="0" applyBorder="1" applyFont="1"/>
    <xf borderId="33" fillId="0" fontId="12" numFmtId="0" xfId="0" applyBorder="1" applyFont="1"/>
    <xf borderId="34" fillId="0" fontId="12" numFmtId="0" xfId="0" applyBorder="1" applyFont="1"/>
    <xf borderId="35" fillId="0" fontId="12" numFmtId="0" xfId="0" applyBorder="1" applyFont="1"/>
    <xf borderId="0" fillId="0" fontId="7" numFmtId="166" xfId="0" applyAlignment="1" applyFont="1" applyNumberFormat="1">
      <alignment horizontal="right"/>
    </xf>
    <xf borderId="11" fillId="0" fontId="25" numFmtId="0" xfId="0" applyBorder="1" applyFont="1"/>
    <xf borderId="34" fillId="0" fontId="20" numFmtId="0" xfId="0" applyBorder="1" applyFont="1"/>
    <xf borderId="0" fillId="0" fontId="7" numFmtId="3" xfId="0" applyAlignment="1" applyFont="1" applyNumberFormat="1">
      <alignment horizontal="right"/>
    </xf>
    <xf borderId="18" fillId="0" fontId="10" numFmtId="0" xfId="0" applyAlignment="1" applyBorder="1" applyFont="1">
      <alignment horizontal="left"/>
    </xf>
    <xf borderId="36" fillId="8" fontId="24" numFmtId="0" xfId="0" applyAlignment="1" applyBorder="1" applyFill="1" applyFont="1">
      <alignment horizontal="center"/>
    </xf>
    <xf borderId="37" fillId="8" fontId="25" numFmtId="0" xfId="0" applyAlignment="1" applyBorder="1" applyFill="1" applyFont="1">
      <alignment horizontal="center"/>
    </xf>
    <xf borderId="38" fillId="8" fontId="25" numFmtId="0" xfId="0" applyAlignment="1" applyBorder="1" applyFill="1" applyFont="1">
      <alignment horizontal="center"/>
    </xf>
    <xf borderId="39" fillId="8" fontId="25" numFmtId="0" xfId="0" applyAlignment="1" applyBorder="1" applyFill="1" applyFont="1">
      <alignment horizontal="center"/>
    </xf>
    <xf borderId="40" fillId="8" fontId="25" numFmtId="0" xfId="0" applyAlignment="1" applyBorder="1" applyFill="1" applyFont="1">
      <alignment horizontal="center"/>
    </xf>
    <xf borderId="41" fillId="8" fontId="25" numFmtId="0" xfId="0" applyAlignment="1" applyBorder="1" applyFill="1" applyFont="1">
      <alignment horizontal="center"/>
    </xf>
    <xf borderId="12" fillId="8" fontId="26" numFmtId="0" xfId="0" applyBorder="1" applyFill="1" applyFont="1"/>
    <xf borderId="11" fillId="8" fontId="27" numFmtId="0" xfId="0" applyBorder="1" applyFill="1" applyFont="1"/>
    <xf borderId="13" fillId="8" fontId="28" numFmtId="0" xfId="0" applyBorder="1" applyFill="1" applyFont="1"/>
    <xf borderId="13" fillId="8" fontId="24" numFmtId="0" xfId="0" applyBorder="1" applyFill="1" applyFont="1"/>
    <xf borderId="0" fillId="0" fontId="25" numFmtId="0" xfId="0" applyFont="1"/>
    <xf borderId="11" fillId="9" fontId="25" numFmtId="167" xfId="0" applyBorder="1" applyFill="1" applyFont="1" applyNumberFormat="1"/>
    <xf borderId="13" fillId="9" fontId="25" numFmtId="0" xfId="0" applyBorder="1" applyFill="1" applyFont="1"/>
    <xf borderId="11" fillId="0" fontId="25" numFmtId="167" xfId="0" applyBorder="1" applyFont="1" applyNumberFormat="1"/>
    <xf borderId="18" fillId="0" fontId="25" numFmtId="0" xfId="0" applyBorder="1" applyFont="1"/>
    <xf borderId="0" fillId="0" fontId="20" numFmtId="167" xfId="0" applyFont="1" applyNumberFormat="1"/>
    <xf borderId="11" fillId="10" fontId="25" numFmtId="0" xfId="0" applyBorder="1" applyFill="1" applyFont="1"/>
    <xf borderId="13" fillId="10" fontId="25" numFmtId="0" xfId="0" applyBorder="1" applyFill="1" applyFont="1"/>
    <xf borderId="29" fillId="8" fontId="25" numFmtId="0" xfId="0" applyBorder="1" applyFill="1" applyFont="1"/>
    <xf borderId="18" fillId="0" fontId="25" numFmtId="0" xfId="0" applyAlignment="1" applyBorder="1" applyFont="1">
      <alignment horizontal="left"/>
    </xf>
    <xf borderId="18" fillId="0" fontId="25" numFmtId="0" xfId="0" applyAlignment="1" applyBorder="1" applyFont="1">
      <alignment horizontal="right"/>
    </xf>
    <xf borderId="18" fillId="0" fontId="25" numFmtId="0" xfId="0" applyAlignment="1" applyBorder="1" applyFont="1">
      <alignment horizontal="center"/>
    </xf>
    <xf borderId="30" fillId="0" fontId="25" numFmtId="0" xfId="0" applyAlignment="1" applyBorder="1" applyFont="1">
      <alignment horizontal="right"/>
    </xf>
    <xf borderId="30" fillId="0" fontId="25" numFmtId="0" xfId="0" applyBorder="1" applyFont="1"/>
    <xf borderId="42" fillId="8" fontId="25" numFmtId="0" xfId="0" applyBorder="1" applyFill="1" applyFont="1"/>
    <xf borderId="42" fillId="9" fontId="25" numFmtId="0" xfId="0" applyAlignment="1" applyBorder="1" applyFill="1" applyFont="1">
      <alignment horizontal="center"/>
    </xf>
    <xf borderId="0" fillId="0" fontId="20" numFmtId="0" xfId="0" applyAlignment="1" applyFont="1">
      <alignment horizontal="right" vertical="top"/>
    </xf>
    <xf borderId="12" fillId="12" fontId="20" numFmtId="0" xfId="0" applyBorder="1" applyFill="1" applyFont="1"/>
    <xf borderId="12" fillId="12" fontId="25" numFmtId="0" xfId="0" applyBorder="1" applyFill="1" applyFont="1"/>
    <xf borderId="11" fillId="8" fontId="29" numFmtId="0" xfId="0" applyBorder="1" applyFill="1" applyFont="1"/>
    <xf borderId="11" fillId="12" fontId="25" numFmtId="0" xfId="0" applyBorder="1" applyFill="1" applyFont="1"/>
    <xf borderId="11" fillId="9" fontId="25" numFmtId="0" xfId="0" applyAlignment="1" applyBorder="1" applyFill="1" applyFont="1">
      <alignment horizontal="right"/>
    </xf>
    <xf borderId="20" fillId="0" fontId="25" numFmtId="0" xfId="0" applyBorder="1" applyFont="1"/>
    <xf borderId="43" fillId="8" fontId="25" numFmtId="0" xfId="0" applyBorder="1" applyFill="1" applyFont="1"/>
    <xf borderId="43" fillId="9" fontId="20" numFmtId="0" xfId="0" applyBorder="1" applyFill="1" applyFont="1"/>
    <xf borderId="11" fillId="0" fontId="20" numFmtId="0" xfId="0" applyAlignment="1" applyBorder="1" applyFont="1">
      <alignment vertical="top"/>
    </xf>
    <xf borderId="21" fillId="8" fontId="30" numFmtId="0" xfId="0" applyAlignment="1" applyBorder="1" applyFill="1" applyFont="1">
      <alignment horizontal="center"/>
    </xf>
    <xf borderId="0" fillId="0" fontId="25" numFmtId="167" xfId="0" applyFont="1" applyNumberFormat="1"/>
    <xf borderId="11" fillId="0" fontId="25" numFmtId="0" xfId="0" applyAlignment="1" applyBorder="1" applyFont="1">
      <alignment horizontal="right"/>
    </xf>
    <xf borderId="11" fillId="0" fontId="25" numFmtId="0" xfId="0" applyAlignment="1" applyBorder="1" applyFont="1">
      <alignment horizontal="left" vertical="center"/>
    </xf>
    <xf borderId="11" fillId="0" fontId="25" numFmtId="167" xfId="0" applyAlignment="1" applyBorder="1" applyFont="1" applyNumberFormat="1">
      <alignment horizontal="right"/>
    </xf>
    <xf borderId="11" fillId="0" fontId="25" numFmtId="0" xfId="0" applyAlignment="1" applyBorder="1" applyFont="1">
      <alignment vertical="top"/>
    </xf>
    <xf borderId="11" fillId="9" fontId="24" numFmtId="0" xfId="0" applyAlignment="1" applyBorder="1" applyFill="1" applyFont="1">
      <alignment horizontal="left" vertical="center"/>
    </xf>
    <xf borderId="11" fillId="9" fontId="25" numFmtId="0" xfId="0" applyAlignment="1" applyBorder="1" applyFill="1" applyFont="1">
      <alignment horizontal="left" vertical="center"/>
    </xf>
    <xf borderId="11" fillId="0" fontId="25" numFmtId="0" xfId="0" applyAlignment="1" applyBorder="1" applyFont="1">
      <alignment horizontal="right" vertical="top"/>
    </xf>
    <xf borderId="11" fillId="8" fontId="25" numFmtId="0" xfId="0" applyAlignment="1" applyBorder="1" applyFill="1" applyFont="1">
      <alignment horizontal="right"/>
    </xf>
    <xf borderId="11" fillId="8" fontId="25" numFmtId="0" xfId="0" applyAlignment="1" applyBorder="1" applyFill="1" applyFont="1">
      <alignment horizontal="left" vertical="center"/>
    </xf>
    <xf borderId="34" fillId="0" fontId="25" numFmtId="0" xfId="0" applyBorder="1" applyFont="1"/>
    <xf borderId="44" fillId="8" fontId="25" numFmtId="0" xfId="0" applyBorder="1" applyFill="1" applyFont="1"/>
    <xf borderId="45" fillId="8" fontId="25" numFmtId="0" xfId="0" applyBorder="1" applyFill="1" applyFont="1"/>
    <xf borderId="45" fillId="8" fontId="25" numFmtId="167" xfId="0" applyBorder="1" applyFill="1" applyFont="1" applyNumberFormat="1"/>
    <xf borderId="46" fillId="8" fontId="25" numFmtId="0" xfId="0" applyBorder="1" applyFill="1" applyFont="1"/>
    <xf borderId="47" fillId="8" fontId="25" numFmtId="0" xfId="0" applyBorder="1" applyFill="1" applyFont="1"/>
    <xf borderId="11" fillId="8" fontId="25" numFmtId="167" xfId="0" applyBorder="1" applyFill="1" applyFont="1" applyNumberFormat="1"/>
    <xf borderId="48" fillId="8" fontId="25" numFmtId="0" xfId="0" applyBorder="1" applyFill="1" applyFont="1"/>
    <xf borderId="11" fillId="8" fontId="25" numFmtId="0" xfId="0" applyAlignment="1" applyBorder="1" applyFill="1" applyFont="1">
      <alignment vertical="top"/>
    </xf>
    <xf borderId="11" fillId="8" fontId="24" numFmtId="0" xfId="0" applyAlignment="1" applyBorder="1" applyFill="1" applyFont="1">
      <alignment horizontal="left" vertical="center"/>
    </xf>
    <xf borderId="11" fillId="8" fontId="25" numFmtId="0" xfId="0" applyAlignment="1" applyBorder="1" applyFill="1" applyFont="1">
      <alignment horizontal="center"/>
    </xf>
    <xf borderId="4" fillId="6" fontId="8" numFmtId="0" xfId="0" applyAlignment="1" applyBorder="1" applyFill="1" applyFont="1">
      <alignment readingOrder="0"/>
    </xf>
    <xf borderId="47" fillId="0" fontId="25" numFmtId="0" xfId="0" applyBorder="1" applyFont="1"/>
    <xf borderId="48" fillId="0" fontId="25" numFmtId="0" xfId="0" applyBorder="1" applyFont="1"/>
    <xf borderId="4" fillId="6" fontId="8" numFmtId="165" xfId="0" applyAlignment="1" applyBorder="1" applyFill="1" applyFont="1" applyNumberFormat="1">
      <alignment horizontal="right"/>
    </xf>
    <xf borderId="49" fillId="8" fontId="25" numFmtId="0" xfId="0" applyBorder="1" applyFill="1" applyFont="1"/>
    <xf borderId="42" fillId="8" fontId="25" numFmtId="167" xfId="0" applyBorder="1" applyFill="1" applyFont="1" applyNumberFormat="1"/>
    <xf borderId="50" fillId="8" fontId="25" numFmtId="0" xfId="0" applyBorder="1" applyFill="1" applyFont="1"/>
    <xf borderId="51" fillId="8" fontId="25" numFmtId="0" xfId="0" applyBorder="1" applyFill="1" applyFont="1"/>
    <xf borderId="52" fillId="8" fontId="25" numFmtId="0" xfId="0" applyBorder="1" applyFill="1" applyFont="1"/>
    <xf borderId="53" fillId="8" fontId="25" numFmtId="0" xfId="0" applyBorder="1" applyFill="1" applyFont="1"/>
    <xf borderId="12" fillId="8" fontId="25" numFmtId="0" xfId="0" applyBorder="1" applyFill="1" applyFont="1"/>
    <xf borderId="4" fillId="6" fontId="8" numFmtId="166" xfId="0" applyAlignment="1" applyBorder="1" applyFill="1" applyFont="1" applyNumberFormat="1">
      <alignment horizontal="right"/>
    </xf>
    <xf borderId="4" fillId="6" fontId="8" numFmtId="3" xfId="0" applyAlignment="1" applyBorder="1" applyFill="1" applyFont="1" applyNumberFormat="1">
      <alignment horizontal="right"/>
    </xf>
    <xf borderId="11" fillId="9" fontId="25" numFmtId="167" xfId="0" applyAlignment="1" applyBorder="1" applyFill="1" applyFont="1" applyNumberFormat="1">
      <alignment horizontal="right"/>
    </xf>
    <xf borderId="11" fillId="9" fontId="25" numFmtId="0" xfId="0" applyAlignment="1" applyBorder="1" applyFill="1" applyFont="1">
      <alignment vertical="top"/>
    </xf>
    <xf borderId="42" fillId="9" fontId="25" numFmtId="0" xfId="0" applyBorder="1" applyFill="1" applyFont="1"/>
    <xf borderId="42" fillId="9" fontId="25" numFmtId="17" xfId="0" applyAlignment="1" applyBorder="1" applyFill="1" applyFont="1" applyNumberFormat="1">
      <alignment horizontal="right"/>
    </xf>
    <xf borderId="11" fillId="0" fontId="25" numFmtId="3" xfId="0" applyBorder="1" applyFont="1" applyNumberFormat="1"/>
    <xf borderId="19" fillId="0" fontId="25" numFmtId="0" xfId="0" applyAlignment="1" applyBorder="1" applyFont="1">
      <alignment horizontal="center"/>
    </xf>
    <xf borderId="11" fillId="9" fontId="25" numFmtId="17" xfId="0" applyAlignment="1" applyBorder="1" applyFill="1" applyFont="1" applyNumberFormat="1">
      <alignment horizontal="right"/>
    </xf>
    <xf borderId="19" fillId="9" fontId="25" numFmtId="0" xfId="0" applyBorder="1" applyFill="1" applyFont="1"/>
    <xf borderId="11" fillId="0" fontId="25" numFmtId="0" xfId="0" applyAlignment="1" applyBorder="1" applyFont="1">
      <alignment horizontal="left"/>
    </xf>
    <xf borderId="11" fillId="0" fontId="25" numFmtId="167" xfId="0" applyAlignment="1" applyBorder="1" applyFont="1" applyNumberFormat="1">
      <alignment horizontal="left"/>
    </xf>
    <xf borderId="11" fillId="0" fontId="25" numFmtId="0" xfId="0" applyAlignment="1" applyBorder="1" applyFont="1">
      <alignment horizontal="left" vertical="top"/>
    </xf>
    <xf borderId="11" fillId="0" fontId="25" numFmtId="0" xfId="0" applyAlignment="1" applyBorder="1" applyFont="1">
      <alignment horizontal="center"/>
    </xf>
    <xf borderId="54" fillId="0" fontId="25" numFmtId="0" xfId="0" applyAlignment="1" applyBorder="1" applyFont="1">
      <alignment horizontal="center"/>
    </xf>
    <xf borderId="43" fillId="9" fontId="25" numFmtId="0" xfId="0" applyBorder="1" applyFill="1" applyFont="1"/>
    <xf borderId="12" fillId="9" fontId="25" numFmtId="0" xfId="0" applyBorder="1" applyFill="1" applyFont="1"/>
    <xf borderId="0" fillId="0" fontId="7" numFmtId="0" xfId="0" applyAlignment="1" applyFont="1">
      <alignment horizontal="left" readingOrder="0" shrinkToFit="0" vertical="center" wrapText="0"/>
    </xf>
    <xf borderId="0" fillId="0" fontId="7" numFmtId="0" xfId="0" applyAlignment="1" applyFont="1">
      <alignment horizontal="left" readingOrder="0" shrinkToFit="0" vertical="center" wrapText="1"/>
    </xf>
    <xf borderId="0" fillId="0" fontId="7" numFmtId="0" xfId="0" applyAlignment="1" applyFont="1">
      <alignment shrinkToFit="0" vertical="center" wrapText="0"/>
    </xf>
    <xf borderId="0" fillId="0" fontId="7"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c" id="{6a6aaf7c-8d41-400b-8304-693b93615d94}" providerId="google-sheets"/>
</x18tc:personList>
</file>

<file path=xl/tables/table1.xml><?xml version="1.0" encoding="utf-8"?>
<table xmlns="http://schemas.openxmlformats.org/spreadsheetml/2006/main" ref="D15:G28" displayName="Table1" name="Table1" id="1">
  <tableColumns count="4">
    <tableColumn name="Column" id="1"/>
    <tableColumn name="Header" id="2"/>
    <tableColumn name="Type / Format" id="3"/>
    <tableColumn name="Description / Example"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X17" dT="2026-09-05T10:08:30.00" personId="{6a6aaf7c-8d41-400b-8304-693b93615d94}" id="{54c75428-5b44-4d53-97bb-fd9b0fb702b8}" done="0">
    <x18tc:text xml:space="preserve">usman rasheed 
nasir iqbal</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X17" dT="2026-09-05T10:08:30.00" personId="{6a6aaf7c-8d41-400b-8304-693b93615d94}" id="{40dd751c-3f9a-45f8-ae7a-188114ddfe4a}" done="0">
    <x18tc:text xml:space="preserve">usman rasheed 
nasir iqbal</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X18" dT="2026-09-05T10:08:30.00" personId="{6a6aaf7c-8d41-400b-8304-693b93615d94}" id="{8a1c3dbf-f3c5-4cb7-9025-f12e9d9ae1bc}" done="0">
    <x18tc:text xml:space="preserve">usman rasheed 
nasir iqbal</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X17" dT="2026-09-05T10:08:30.00" personId="{6a6aaf7c-8d41-400b-8304-693b93615d94}" id="{e2a562e2-4063-437d-bfa1-a04175c450b8}" done="0">
    <x18tc:text xml:space="preserve">usman rasheed 
nasir iqbal</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X17" dT="2026-09-05T10:08:30.00" personId="{6a6aaf7c-8d41-400b-8304-693b93615d94}" id="{7e1e72f4-6785-4ccd-8604-fbc723c069f5}" done="0">
    <x18tc:text xml:space="preserve">usman rasheed 
nasir iqbal</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X18" dT="2026-09-05T10:08:30.00" personId="{6a6aaf7c-8d41-400b-8304-693b93615d94}" id="{25a4e4d7-c2e3-4f6e-ac01-e25a2147ccb8}" done="0">
    <x18tc:text xml:space="preserve">usman rasheed 
nasir iqbal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2.xml"/><Relationship Id="rId5"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3.xml"/><Relationship Id="rId5"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4.xml"/><Relationship Id="rId5"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5.xml"/><Relationship Id="rId5"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6.xml"/><Relationship Id="rId5"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7.xml"/><Relationship Id="rId5"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row>
    <row r="2">
      <c r="A2" s="1" t="s">
        <v>2</v>
      </c>
    </row>
    <row r="3">
      <c r="A3" s="3" t="s">
        <v>3</v>
      </c>
    </row>
    <row r="4">
      <c r="A4" s="3" t="s">
        <v>4</v>
      </c>
    </row>
    <row r="5">
      <c r="A5" s="3" t="s">
        <v>5</v>
      </c>
    </row>
    <row r="6">
      <c r="A6" s="3" t="s">
        <v>7</v>
      </c>
    </row>
    <row r="7">
      <c r="A7" s="3" t="s">
        <v>8</v>
      </c>
    </row>
    <row r="8">
      <c r="A8" s="3" t="s">
        <v>9</v>
      </c>
    </row>
    <row r="9">
      <c r="A9" s="3" t="s">
        <v>10</v>
      </c>
    </row>
    <row r="10">
      <c r="A10" s="3" t="s">
        <v>11</v>
      </c>
    </row>
    <row r="11">
      <c r="A11" s="1" t="s">
        <v>12</v>
      </c>
    </row>
    <row r="12">
      <c r="A12" s="1" t="s">
        <v>13</v>
      </c>
    </row>
    <row r="13">
      <c r="A13" s="1" t="s">
        <v>14</v>
      </c>
    </row>
    <row r="14">
      <c r="A14"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14"/>
    <col customWidth="1" min="2" max="2" width="20.14"/>
    <col customWidth="1" min="3" max="7" width="18.0"/>
    <col customWidth="1" min="8" max="8" width="23.71"/>
    <col customWidth="1" min="9" max="9" width="18.71"/>
    <col customWidth="1" min="10" max="10" width="15.14"/>
    <col customWidth="1" min="11" max="11" width="19.43"/>
  </cols>
  <sheetData>
    <row r="1">
      <c r="B1" s="2" t="s">
        <v>1</v>
      </c>
      <c r="J1" s="4" t="s">
        <v>6</v>
      </c>
      <c r="K1" s="7" t="s">
        <v>16</v>
      </c>
    </row>
    <row r="2">
      <c r="B2" s="8" t="s">
        <v>21</v>
      </c>
      <c r="D2" s="8" t="s">
        <v>25</v>
      </c>
      <c r="F2" s="8" t="s">
        <v>26</v>
      </c>
      <c r="H2" s="8" t="s">
        <v>27</v>
      </c>
      <c r="J2" s="8" t="s">
        <v>28</v>
      </c>
    </row>
    <row r="3">
      <c r="B3" s="30">
        <f t="array" ref="B3">SUMIFS(Sales!$H$2:$H$500,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8782108</v>
      </c>
      <c r="D3" s="30">
        <f t="array" ref="D3">SUMIFS(Sales!$I$2:$I$500,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8505100</v>
      </c>
      <c r="F3" s="30">
        <f t="array" ref="F3">SUMIFS(Sales!$J$2:$J$500,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277008</v>
      </c>
      <c r="H3" s="30">
        <f t="array" ref="H3">SUMIFS(Sales!$K$2:$K$500,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2242098</v>
      </c>
      <c r="J3" s="30">
        <f t="array" ref="J3">SUMIFS(Expenses!$D$2:$D$500, Expenses!$A$2:$A$500,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Expenses!$A$2:$A$500,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373948</v>
      </c>
    </row>
    <row r="5">
      <c r="B5" s="8" t="s">
        <v>428</v>
      </c>
      <c r="E5" s="8" t="s">
        <v>430</v>
      </c>
      <c r="H5" s="8" t="s">
        <v>431</v>
      </c>
    </row>
    <row r="6">
      <c r="B6" s="30">
        <f t="array" ref="B6">SUMIFS(Sales!$M$2:$M$500,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6540010</v>
      </c>
      <c r="E6" s="30">
        <f>B6-J3</f>
        <v>6166062</v>
      </c>
      <c r="H6" s="30">
        <f>D3-H3-J3</f>
        <v>5889054</v>
      </c>
    </row>
    <row r="8">
      <c r="B8" s="6" t="s">
        <v>498</v>
      </c>
      <c r="C8" s="6" t="s">
        <v>500</v>
      </c>
      <c r="D8" s="6" t="s">
        <v>501</v>
      </c>
      <c r="E8" s="6" t="s">
        <v>503</v>
      </c>
      <c r="F8" s="6" t="s">
        <v>41</v>
      </c>
      <c r="H8" s="6" t="s">
        <v>505</v>
      </c>
      <c r="I8" s="6" t="s">
        <v>506</v>
      </c>
      <c r="J8" s="6" t="s">
        <v>507</v>
      </c>
      <c r="K8" s="6" t="s">
        <v>508</v>
      </c>
    </row>
    <row r="9">
      <c r="B9" s="10" t="s">
        <v>109</v>
      </c>
      <c r="C9" s="37">
        <f t="array" ref="C9">SUMIFS(Sales!$H$2:$H$500, Sales!$D$2:$D$500, $B9,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1682408</v>
      </c>
      <c r="D9" s="37">
        <f t="array" ref="D9">SUMIFS(Sales!$I$2:$I$500, Sales!$D$2:$D$500, $B9,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1469700</v>
      </c>
      <c r="E9" s="37">
        <f t="array" ref="E9">SUMIFS(Sales!$J$2:$J$500, Sales!$D$2:$D$500, $B9,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212708</v>
      </c>
      <c r="F9" s="37">
        <f t="array" ref="F9">SUMIFS(Sales!$M$2:$M$500, Sales!$D$2:$D$500, $B9,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845508</v>
      </c>
      <c r="H9" s="10" t="s">
        <v>36</v>
      </c>
      <c r="I9" s="37">
        <f t="array" ref="I9">SUMIFS(Expenses!$D$2:$D$500, Expenses!$B$2:$B$500, $H9, Expenses!$A$2:$A$500,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Expenses!$A$2:$A$500,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126508</v>
      </c>
      <c r="J9" s="109">
        <f t="shared" ref="J9:J14" si="1">IFERROR(I9/$I$15,0)</f>
        <v>0.3383037214</v>
      </c>
      <c r="K9" s="112">
        <f t="array" ref="K9">COUNTIFS(Expenses!$B$2:$B$500, $H9, Expenses!$A$2:$A$500,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Expenses!$A$2:$A$500,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20</v>
      </c>
    </row>
    <row r="10">
      <c r="B10" s="10" t="s">
        <v>56</v>
      </c>
      <c r="C10" s="37">
        <f t="array" ref="C10">SUMIFS(Sales!$H$2:$H$500, Sales!$D$2:$D$500, $B10,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6684700</v>
      </c>
      <c r="D10" s="37">
        <f t="array" ref="D10">SUMIFS(Sales!$I$2:$I$500, Sales!$D$2:$D$500, $B10,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6620400</v>
      </c>
      <c r="E10" s="37">
        <f t="array" ref="E10">SUMIFS(Sales!$J$2:$J$500, Sales!$D$2:$D$500, $B10,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64300</v>
      </c>
      <c r="F10" s="37">
        <f t="array" ref="F10">SUMIFS(Sales!$M$2:$M$500, Sales!$D$2:$D$500, $B10,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5323502</v>
      </c>
      <c r="H10" s="10" t="s">
        <v>49</v>
      </c>
      <c r="I10" s="37">
        <f t="array" ref="I10">SUMIFS(Expenses!$D$2:$D$500, Expenses!$B$2:$B$500, $H10, Expenses!$A$2:$A$500,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Expenses!$A$2:$A$500,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80000</v>
      </c>
      <c r="J10" s="109">
        <f t="shared" si="1"/>
        <v>0.2139334881</v>
      </c>
      <c r="K10" s="112">
        <f t="array" ref="K10">COUNTIFS(Expenses!$B$2:$B$500, $H10, Expenses!$A$2:$A$500,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Expenses!$A$2:$A$500,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4</v>
      </c>
    </row>
    <row r="11">
      <c r="B11" s="10" t="s">
        <v>604</v>
      </c>
      <c r="C11" s="37">
        <f t="array" ref="C11">SUMIFS(Sales!$H$2:$H$500, Sales!$D$2:$D$500, $B11,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65000</v>
      </c>
      <c r="D11" s="37">
        <f t="array" ref="D11">SUMIFS(Sales!$I$2:$I$500, Sales!$D$2:$D$500, $B11,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65000</v>
      </c>
      <c r="E11" s="37">
        <f t="array" ref="E11">SUMIFS(Sales!$J$2:$J$500, Sales!$D$2:$D$500, $B11,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0</v>
      </c>
      <c r="F11" s="37">
        <f t="array" ref="F11">SUMIFS(Sales!$M$2:$M$500, Sales!$D$2:$D$500, $B11,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65000</v>
      </c>
      <c r="H11" s="10" t="s">
        <v>45</v>
      </c>
      <c r="I11" s="37">
        <f t="array" ref="I11">SUMIFS(Expenses!$D$2:$D$500, Expenses!$B$2:$B$500, $H11, Expenses!$A$2:$A$500,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Expenses!$A$2:$A$500,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55000</v>
      </c>
      <c r="J11" s="109">
        <f t="shared" si="1"/>
        <v>0.1470792731</v>
      </c>
      <c r="K11" s="112">
        <f t="array" ref="K11">COUNTIFS(Expenses!$B$2:$B$500, $H11, Expenses!$A$2:$A$500,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Expenses!$A$2:$A$500,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14</v>
      </c>
    </row>
    <row r="12">
      <c r="B12" s="10" t="s">
        <v>66</v>
      </c>
      <c r="C12" s="37">
        <f t="array" ref="C12">SUMIFS(Sales!$H$2:$H$500, Sales!$D$2:$D$500, $B12,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350000</v>
      </c>
      <c r="D12" s="37">
        <f t="array" ref="D12">SUMIFS(Sales!$I$2:$I$500, Sales!$D$2:$D$500, $B12,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350000</v>
      </c>
      <c r="E12" s="37">
        <f t="array" ref="E12">SUMIFS(Sales!$J$2:$J$500, Sales!$D$2:$D$500, $B12,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0</v>
      </c>
      <c r="F12" s="37">
        <f t="array" ref="F12">SUMIFS(Sales!$M$2:$M$500, Sales!$D$2:$D$500, $B12, Sales!$B$2:$B$500,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Sales!$B$2:$B$500,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306000</v>
      </c>
      <c r="H12" s="10" t="s">
        <v>60</v>
      </c>
      <c r="I12" s="37">
        <f t="array" ref="I12">SUMIFS(Expenses!$D$2:$D$500, Expenses!$B$2:$B$500, $H12, Expenses!$A$2:$A$500,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Expenses!$A$2:$A$500,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15000</v>
      </c>
      <c r="J12" s="109">
        <f t="shared" si="1"/>
        <v>0.04011252901</v>
      </c>
      <c r="K12" s="112">
        <f t="array" ref="K12">COUNTIFS(Expenses!$B$2:$B$500, $H12, Expenses!$A$2:$A$500,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Expenses!$A$2:$A$500,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1</v>
      </c>
    </row>
    <row r="13">
      <c r="B13" s="172" t="s">
        <v>181</v>
      </c>
      <c r="C13" s="175">
        <f t="shared" ref="C13:F13" si="2">SUM(C9:C12)</f>
        <v>8782108</v>
      </c>
      <c r="D13" s="175">
        <f t="shared" si="2"/>
        <v>8505100</v>
      </c>
      <c r="E13" s="175">
        <f t="shared" si="2"/>
        <v>277008</v>
      </c>
      <c r="F13" s="175">
        <f t="shared" si="2"/>
        <v>6540010</v>
      </c>
      <c r="H13" s="10" t="s">
        <v>140</v>
      </c>
      <c r="I13" s="37">
        <f t="array" ref="I13">SUMIFS(Expenses!$D$2:$D$500, Expenses!$B$2:$B$500, $H13, Expenses!$A$2:$A$500,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Expenses!$A$2:$A$500,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10000</v>
      </c>
      <c r="J13" s="109">
        <f t="shared" si="1"/>
        <v>0.02674168601</v>
      </c>
      <c r="K13" s="112">
        <f t="array" ref="K13">COUNTIFS(Expenses!$B$2:$B$500, $H13, Expenses!$A$2:$A$500,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Expenses!$A$2:$A$500,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1</v>
      </c>
    </row>
    <row r="14">
      <c r="H14" s="10" t="s">
        <v>77</v>
      </c>
      <c r="I14" s="37">
        <f t="array" ref="I14">SUMIFS(Expenses!$D$2:$D$500, Expenses!$B$2:$B$500, $H14, Expenses!$A$2:$A$500,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Expenses!$A$2:$A$500,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87440</v>
      </c>
      <c r="J14" s="109">
        <f t="shared" si="1"/>
        <v>0.2338293025</v>
      </c>
      <c r="K14" s="112">
        <f t="array" ref="K14">COUNTIFS(Expenses!$B$2:$B$500, $H14, Expenses!$A$2:$A$500, "&gt;="&amp;IF(ISNUMBER($K$1),DATE(YEAR($K$1),MONTH($K$1),1),IF(ISNUMBER(SEARCH("2025",$K$1)),DATE(2025,1,1),IF(ISNUMBER(SEARCH("2026",$K$1)),DATE(2026,1,1),IF(ISNUMBER(MATCH($K$1,{"January","February","March","April","May","June","July","August","September","October","November","December"},0)),DATE(2025,MATCH($K$1,{"January","February","March","April","May","June","July","August","September","October","November","December"},0),1),DATE(2020,1,1))))), Expenses!$A$2:$A$500, "&lt;="&amp;IF(ISNUMBER($K$1),EOMONTH($K$1,0),IF(ISNUMBER(SEARCH("2025",$K$1)),DATE(2025,12,31),IF(ISNUMBER(SEARCH("2026",$K$1)),DATE(2026,12,31),IF(ISNUMBER(MATCH($K$1,{"January","February","March","April","May","June","July","August","September","October","November","December"},0)),EOMONTH(DATE(2025,MATCH($K$1,{"January","February","March","April","May","June","July","August","September","October","November","December"},0),1),0),DATE(2030,12,31))))))</f>
        <v>8</v>
      </c>
    </row>
    <row r="15">
      <c r="H15" s="172" t="s">
        <v>350</v>
      </c>
      <c r="I15" s="175">
        <f t="shared" ref="I15:K15" si="3">SUM(I9:I14)</f>
        <v>373948</v>
      </c>
      <c r="J15" s="183">
        <f t="shared" si="3"/>
        <v>1</v>
      </c>
      <c r="K15" s="184">
        <f t="shared" si="3"/>
        <v>48</v>
      </c>
    </row>
  </sheetData>
  <mergeCells count="17">
    <mergeCell ref="H2:I2"/>
    <mergeCell ref="H3:I3"/>
    <mergeCell ref="J2:K2"/>
    <mergeCell ref="J3:K3"/>
    <mergeCell ref="B5:D5"/>
    <mergeCell ref="B6:D6"/>
    <mergeCell ref="E5:G5"/>
    <mergeCell ref="E6:G6"/>
    <mergeCell ref="H5:K5"/>
    <mergeCell ref="H6:K6"/>
    <mergeCell ref="B2:C2"/>
    <mergeCell ref="B3:C3"/>
    <mergeCell ref="D2:E2"/>
    <mergeCell ref="D3:E3"/>
    <mergeCell ref="F2:G2"/>
    <mergeCell ref="F3:G3"/>
    <mergeCell ref="B1:I1"/>
  </mergeCells>
  <dataValidations>
    <dataValidation type="list" allowBlank="1" sqref="K1">
      <formula1>"All Time,Year 2025,Year 2026,January 2025,February 2025,March 2025,April 2025,May 2025,June 2025,July 2025,August 2025,September 2025,October 2025,November 2025,December 2025,January 2026,February 2026,March 2026,April 2026,May 2026,June 2026,July 2026,Au"&amp;"gust 2026,September 2026,October 2026,November 2026,December 2026"</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57"/>
    <col customWidth="1" min="2" max="2" width="15.86"/>
    <col customWidth="1" min="3" max="3" width="27.29"/>
    <col customWidth="1" min="4" max="4" width="19.43"/>
    <col customWidth="1" min="5" max="5" width="18.71"/>
    <col customWidth="1" min="6" max="6" width="30.14"/>
    <col customWidth="1" min="7" max="7" width="18.71"/>
    <col customWidth="1" min="8" max="9" width="19.43"/>
    <col customWidth="1" min="10" max="10" width="21.57"/>
    <col customWidth="1" min="11" max="11" width="18.71"/>
    <col customWidth="1" min="12" max="12" width="18.0"/>
    <col customWidth="1" min="13" max="13" width="18.71"/>
  </cols>
  <sheetData>
    <row r="1">
      <c r="A1" s="6" t="s">
        <v>23</v>
      </c>
      <c r="B1" s="6" t="s">
        <v>15</v>
      </c>
      <c r="C1" s="6" t="s">
        <v>29</v>
      </c>
      <c r="D1" s="6" t="s">
        <v>30</v>
      </c>
      <c r="E1" s="6" t="s">
        <v>31</v>
      </c>
      <c r="F1" s="6" t="s">
        <v>32</v>
      </c>
      <c r="G1" s="6" t="s">
        <v>33</v>
      </c>
      <c r="H1" s="6" t="s">
        <v>34</v>
      </c>
      <c r="I1" s="6" t="s">
        <v>35</v>
      </c>
      <c r="J1" s="6" t="s">
        <v>37</v>
      </c>
      <c r="K1" s="6" t="s">
        <v>39</v>
      </c>
      <c r="L1" s="6" t="s">
        <v>40</v>
      </c>
      <c r="M1" s="6" t="s">
        <v>41</v>
      </c>
    </row>
    <row r="2">
      <c r="A2" s="12">
        <v>1.0</v>
      </c>
      <c r="B2" s="9">
        <v>45662.0</v>
      </c>
      <c r="C2" s="10" t="s">
        <v>46</v>
      </c>
      <c r="D2" s="12" t="s">
        <v>56</v>
      </c>
      <c r="E2" s="10" t="s">
        <v>57</v>
      </c>
      <c r="F2" s="10" t="s">
        <v>65</v>
      </c>
      <c r="G2" s="10" t="s">
        <v>67</v>
      </c>
      <c r="H2" s="11">
        <v>50000.0</v>
      </c>
      <c r="I2" s="11">
        <v>50000.0</v>
      </c>
      <c r="J2" s="17">
        <f t="shared" ref="J2:J166" si="1">IF(H2="","",H2-N(I2))</f>
        <v>0</v>
      </c>
      <c r="K2" s="11">
        <v>0.0</v>
      </c>
      <c r="L2" s="12" t="s">
        <v>86</v>
      </c>
      <c r="M2" s="17">
        <f t="shared" ref="M2:M166" si="2">IF(H2="","",H2-N(K2))</f>
        <v>50000</v>
      </c>
    </row>
    <row r="3">
      <c r="A3" s="12">
        <v>2.0</v>
      </c>
      <c r="B3" s="9">
        <v>45665.0</v>
      </c>
      <c r="C3" s="10" t="s">
        <v>93</v>
      </c>
      <c r="D3" s="12" t="s">
        <v>56</v>
      </c>
      <c r="E3" s="10" t="s">
        <v>98</v>
      </c>
      <c r="F3" s="10" t="s">
        <v>100</v>
      </c>
      <c r="G3" s="10" t="s">
        <v>103</v>
      </c>
      <c r="H3" s="11">
        <v>145000.0</v>
      </c>
      <c r="I3" s="11">
        <v>145000.0</v>
      </c>
      <c r="J3" s="17">
        <f t="shared" si="1"/>
        <v>0</v>
      </c>
      <c r="K3" s="11">
        <v>73500.0</v>
      </c>
      <c r="L3" s="12" t="s">
        <v>112</v>
      </c>
      <c r="M3" s="17">
        <f t="shared" si="2"/>
        <v>71500</v>
      </c>
    </row>
    <row r="4">
      <c r="A4" s="12">
        <v>3.0</v>
      </c>
      <c r="B4" s="9">
        <v>45667.0</v>
      </c>
      <c r="C4" s="10" t="s">
        <v>115</v>
      </c>
      <c r="D4" s="12" t="s">
        <v>56</v>
      </c>
      <c r="E4" s="10" t="s">
        <v>116</v>
      </c>
      <c r="F4" s="10" t="s">
        <v>118</v>
      </c>
      <c r="G4" s="10" t="s">
        <v>67</v>
      </c>
      <c r="H4" s="11">
        <v>70000.0</v>
      </c>
      <c r="I4" s="11">
        <v>58000.0</v>
      </c>
      <c r="J4" s="17">
        <f t="shared" si="1"/>
        <v>12000</v>
      </c>
      <c r="K4" s="11">
        <v>0.0</v>
      </c>
      <c r="L4" s="12" t="s">
        <v>86</v>
      </c>
      <c r="M4" s="17">
        <f t="shared" si="2"/>
        <v>70000</v>
      </c>
    </row>
    <row r="5">
      <c r="A5" s="12">
        <v>4.0</v>
      </c>
      <c r="B5" s="9">
        <v>45669.0</v>
      </c>
      <c r="C5" s="10" t="s">
        <v>123</v>
      </c>
      <c r="D5" s="12" t="s">
        <v>109</v>
      </c>
      <c r="E5" s="10" t="s">
        <v>124</v>
      </c>
      <c r="F5" s="10" t="s">
        <v>125</v>
      </c>
      <c r="G5" s="10" t="s">
        <v>127</v>
      </c>
      <c r="H5" s="11">
        <v>25000.0</v>
      </c>
      <c r="I5" s="11">
        <v>25000.0</v>
      </c>
      <c r="J5" s="17">
        <f t="shared" si="1"/>
        <v>0</v>
      </c>
      <c r="K5" s="11">
        <v>15000.0</v>
      </c>
      <c r="L5" s="12" t="s">
        <v>112</v>
      </c>
      <c r="M5" s="17">
        <f t="shared" si="2"/>
        <v>10000</v>
      </c>
    </row>
    <row r="6">
      <c r="A6" s="12">
        <v>5.0</v>
      </c>
      <c r="B6" s="9">
        <v>45671.0</v>
      </c>
      <c r="C6" s="10" t="s">
        <v>131</v>
      </c>
      <c r="D6" s="12" t="s">
        <v>109</v>
      </c>
      <c r="E6" s="10" t="s">
        <v>124</v>
      </c>
      <c r="F6" s="10" t="s">
        <v>125</v>
      </c>
      <c r="G6" s="10" t="s">
        <v>127</v>
      </c>
      <c r="H6" s="11">
        <v>25000.0</v>
      </c>
      <c r="I6" s="11">
        <v>25000.0</v>
      </c>
      <c r="J6" s="17">
        <f t="shared" si="1"/>
        <v>0</v>
      </c>
      <c r="K6" s="11">
        <v>15000.0</v>
      </c>
      <c r="L6" s="12" t="s">
        <v>112</v>
      </c>
      <c r="M6" s="17">
        <f t="shared" si="2"/>
        <v>10000</v>
      </c>
    </row>
    <row r="7">
      <c r="A7" s="12">
        <v>6.0</v>
      </c>
      <c r="B7" s="9">
        <v>45673.0</v>
      </c>
      <c r="C7" s="10" t="s">
        <v>138</v>
      </c>
      <c r="D7" s="12" t="s">
        <v>109</v>
      </c>
      <c r="E7" s="10" t="s">
        <v>124</v>
      </c>
      <c r="F7" s="10" t="s">
        <v>125</v>
      </c>
      <c r="G7" s="10" t="s">
        <v>127</v>
      </c>
      <c r="H7" s="11">
        <v>25000.0</v>
      </c>
      <c r="I7" s="11">
        <v>25000.0</v>
      </c>
      <c r="J7" s="17">
        <f t="shared" si="1"/>
        <v>0</v>
      </c>
      <c r="K7" s="11">
        <v>15000.0</v>
      </c>
      <c r="L7" s="12" t="s">
        <v>112</v>
      </c>
      <c r="M7" s="17">
        <f t="shared" si="2"/>
        <v>10000</v>
      </c>
    </row>
    <row r="8">
      <c r="A8" s="12">
        <v>7.0</v>
      </c>
      <c r="B8" s="9">
        <v>45675.0</v>
      </c>
      <c r="C8" s="10" t="s">
        <v>147</v>
      </c>
      <c r="D8" s="12" t="s">
        <v>109</v>
      </c>
      <c r="E8" s="10" t="s">
        <v>124</v>
      </c>
      <c r="F8" s="10" t="s">
        <v>125</v>
      </c>
      <c r="G8" s="10" t="s">
        <v>127</v>
      </c>
      <c r="H8" s="11">
        <v>20000.0</v>
      </c>
      <c r="I8" s="11">
        <v>20000.0</v>
      </c>
      <c r="J8" s="17">
        <f t="shared" si="1"/>
        <v>0</v>
      </c>
      <c r="K8" s="11">
        <v>15000.0</v>
      </c>
      <c r="L8" s="12" t="s">
        <v>112</v>
      </c>
      <c r="M8" s="17">
        <f t="shared" si="2"/>
        <v>5000</v>
      </c>
    </row>
    <row r="9">
      <c r="A9" s="12">
        <v>8.0</v>
      </c>
      <c r="B9" s="9">
        <v>45677.0</v>
      </c>
      <c r="C9" s="10" t="s">
        <v>123</v>
      </c>
      <c r="D9" s="12" t="s">
        <v>109</v>
      </c>
      <c r="E9" s="10" t="s">
        <v>154</v>
      </c>
      <c r="F9" s="10" t="s">
        <v>125</v>
      </c>
      <c r="G9" s="10" t="s">
        <v>156</v>
      </c>
      <c r="H9" s="11">
        <v>50000.0</v>
      </c>
      <c r="I9" s="11">
        <v>50000.0</v>
      </c>
      <c r="J9" s="17">
        <f t="shared" si="1"/>
        <v>0</v>
      </c>
      <c r="K9" s="11">
        <v>13000.0</v>
      </c>
      <c r="L9" s="12" t="s">
        <v>112</v>
      </c>
      <c r="M9" s="17">
        <f t="shared" si="2"/>
        <v>37000</v>
      </c>
    </row>
    <row r="10">
      <c r="A10" s="12">
        <v>9.0</v>
      </c>
      <c r="B10" s="9">
        <v>45679.0</v>
      </c>
      <c r="C10" s="10" t="s">
        <v>131</v>
      </c>
      <c r="D10" s="12" t="s">
        <v>109</v>
      </c>
      <c r="E10" s="10" t="s">
        <v>154</v>
      </c>
      <c r="F10" s="10" t="s">
        <v>125</v>
      </c>
      <c r="G10" s="10" t="s">
        <v>156</v>
      </c>
      <c r="H10" s="11">
        <v>50000.0</v>
      </c>
      <c r="I10" s="11">
        <v>50000.0</v>
      </c>
      <c r="J10" s="17">
        <f t="shared" si="1"/>
        <v>0</v>
      </c>
      <c r="K10" s="11">
        <v>13000.0</v>
      </c>
      <c r="L10" s="12" t="s">
        <v>112</v>
      </c>
      <c r="M10" s="17">
        <f t="shared" si="2"/>
        <v>37000</v>
      </c>
    </row>
    <row r="11">
      <c r="A11" s="12">
        <v>10.0</v>
      </c>
      <c r="B11" s="9">
        <v>45682.0</v>
      </c>
      <c r="C11" s="10" t="s">
        <v>167</v>
      </c>
      <c r="D11" s="12" t="s">
        <v>56</v>
      </c>
      <c r="E11" s="10" t="s">
        <v>169</v>
      </c>
      <c r="F11" s="10" t="s">
        <v>172</v>
      </c>
      <c r="G11" s="10" t="s">
        <v>173</v>
      </c>
      <c r="H11" s="11">
        <v>200000.0</v>
      </c>
      <c r="I11" s="11">
        <v>17000.0</v>
      </c>
      <c r="J11" s="17">
        <f t="shared" si="1"/>
        <v>183000</v>
      </c>
      <c r="K11" s="11">
        <v>150000.0</v>
      </c>
      <c r="L11" s="12" t="s">
        <v>176</v>
      </c>
      <c r="M11" s="17">
        <f t="shared" si="2"/>
        <v>50000</v>
      </c>
    </row>
    <row r="12">
      <c r="A12" s="12">
        <v>11.0</v>
      </c>
      <c r="B12" s="9">
        <v>45685.0</v>
      </c>
      <c r="C12" s="10" t="s">
        <v>177</v>
      </c>
      <c r="D12" s="12" t="s">
        <v>109</v>
      </c>
      <c r="E12" s="10" t="s">
        <v>178</v>
      </c>
      <c r="F12" s="10" t="s">
        <v>179</v>
      </c>
      <c r="G12" s="10" t="s">
        <v>180</v>
      </c>
      <c r="H12" s="11">
        <v>6000.0</v>
      </c>
      <c r="I12" s="11">
        <v>6000.0</v>
      </c>
      <c r="J12" s="17">
        <f t="shared" si="1"/>
        <v>0</v>
      </c>
      <c r="K12" s="11">
        <v>4125.0</v>
      </c>
      <c r="L12" s="12" t="s">
        <v>112</v>
      </c>
      <c r="M12" s="17">
        <f t="shared" si="2"/>
        <v>1875</v>
      </c>
    </row>
    <row r="13">
      <c r="A13" s="29">
        <v>12.0</v>
      </c>
      <c r="B13" s="32">
        <v>45690.0</v>
      </c>
      <c r="C13" s="15" t="s">
        <v>191</v>
      </c>
      <c r="D13" s="29" t="s">
        <v>56</v>
      </c>
      <c r="E13" s="15" t="s">
        <v>193</v>
      </c>
      <c r="F13" s="15" t="s">
        <v>66</v>
      </c>
      <c r="G13" s="15" t="s">
        <v>195</v>
      </c>
      <c r="H13" s="16">
        <v>135000.0</v>
      </c>
      <c r="I13" s="16">
        <v>135000.0</v>
      </c>
      <c r="J13" s="38">
        <f t="shared" si="1"/>
        <v>0</v>
      </c>
      <c r="K13" s="16">
        <v>0.0</v>
      </c>
      <c r="L13" s="29" t="s">
        <v>86</v>
      </c>
      <c r="M13" s="38">
        <f t="shared" si="2"/>
        <v>135000</v>
      </c>
    </row>
    <row r="14">
      <c r="A14" s="18">
        <v>13.0</v>
      </c>
      <c r="B14" s="13">
        <v>45692.0</v>
      </c>
      <c r="C14" s="14" t="s">
        <v>202</v>
      </c>
      <c r="D14" s="18" t="s">
        <v>56</v>
      </c>
      <c r="E14" s="14" t="s">
        <v>203</v>
      </c>
      <c r="F14" s="14" t="s">
        <v>125</v>
      </c>
      <c r="G14" s="14" t="s">
        <v>204</v>
      </c>
      <c r="H14" s="19">
        <v>41900.0</v>
      </c>
      <c r="I14" s="19">
        <v>41900.0</v>
      </c>
      <c r="J14" s="39">
        <f t="shared" si="1"/>
        <v>0</v>
      </c>
      <c r="K14" s="19">
        <v>40000.0</v>
      </c>
      <c r="L14" s="18" t="s">
        <v>112</v>
      </c>
      <c r="M14" s="39">
        <f t="shared" si="2"/>
        <v>1900</v>
      </c>
    </row>
    <row r="15">
      <c r="A15" s="18">
        <v>14.0</v>
      </c>
      <c r="B15" s="13">
        <v>45694.0</v>
      </c>
      <c r="C15" s="14" t="s">
        <v>207</v>
      </c>
      <c r="D15" s="18" t="s">
        <v>109</v>
      </c>
      <c r="E15" s="14" t="s">
        <v>208</v>
      </c>
      <c r="F15" s="14" t="s">
        <v>66</v>
      </c>
      <c r="G15" s="14" t="s">
        <v>67</v>
      </c>
      <c r="H15" s="19">
        <v>26000.0</v>
      </c>
      <c r="I15" s="19">
        <v>26000.0</v>
      </c>
      <c r="J15" s="39">
        <f t="shared" si="1"/>
        <v>0</v>
      </c>
      <c r="K15" s="19">
        <v>0.0</v>
      </c>
      <c r="L15" s="18" t="s">
        <v>86</v>
      </c>
      <c r="M15" s="39">
        <f t="shared" si="2"/>
        <v>26000</v>
      </c>
    </row>
    <row r="16">
      <c r="A16" s="18">
        <v>15.0</v>
      </c>
      <c r="B16" s="13">
        <v>45696.0</v>
      </c>
      <c r="C16" s="14" t="s">
        <v>213</v>
      </c>
      <c r="D16" s="18" t="s">
        <v>109</v>
      </c>
      <c r="E16" s="14" t="s">
        <v>215</v>
      </c>
      <c r="F16" s="14" t="s">
        <v>125</v>
      </c>
      <c r="G16" s="14" t="s">
        <v>216</v>
      </c>
      <c r="H16" s="19">
        <v>23000.0</v>
      </c>
      <c r="I16" s="19">
        <v>23000.0</v>
      </c>
      <c r="J16" s="39">
        <f t="shared" si="1"/>
        <v>0</v>
      </c>
      <c r="K16" s="19">
        <v>14500.0</v>
      </c>
      <c r="L16" s="18" t="s">
        <v>112</v>
      </c>
      <c r="M16" s="39">
        <f t="shared" si="2"/>
        <v>8500</v>
      </c>
    </row>
    <row r="17">
      <c r="A17" s="18">
        <v>16.0</v>
      </c>
      <c r="B17" s="13">
        <v>45698.0</v>
      </c>
      <c r="C17" s="14" t="s">
        <v>218</v>
      </c>
      <c r="D17" s="18" t="s">
        <v>109</v>
      </c>
      <c r="E17" s="14" t="s">
        <v>215</v>
      </c>
      <c r="F17" s="14" t="s">
        <v>125</v>
      </c>
      <c r="G17" s="14" t="s">
        <v>216</v>
      </c>
      <c r="H17" s="19">
        <v>23000.0</v>
      </c>
      <c r="I17" s="19">
        <v>23000.0</v>
      </c>
      <c r="J17" s="39">
        <f t="shared" si="1"/>
        <v>0</v>
      </c>
      <c r="K17" s="19">
        <v>14500.0</v>
      </c>
      <c r="L17" s="18" t="s">
        <v>112</v>
      </c>
      <c r="M17" s="39">
        <f t="shared" si="2"/>
        <v>8500</v>
      </c>
    </row>
    <row r="18">
      <c r="A18" s="18">
        <v>17.0</v>
      </c>
      <c r="B18" s="13">
        <v>45700.0</v>
      </c>
      <c r="C18" s="14" t="s">
        <v>219</v>
      </c>
      <c r="D18" s="18" t="s">
        <v>56</v>
      </c>
      <c r="E18" s="14" t="s">
        <v>193</v>
      </c>
      <c r="F18" s="14" t="s">
        <v>179</v>
      </c>
      <c r="G18" s="14" t="s">
        <v>180</v>
      </c>
      <c r="H18" s="19">
        <v>12000.0</v>
      </c>
      <c r="I18" s="19">
        <v>12000.0</v>
      </c>
      <c r="J18" s="39">
        <f t="shared" si="1"/>
        <v>0</v>
      </c>
      <c r="K18" s="19">
        <v>7192.0</v>
      </c>
      <c r="L18" s="18" t="s">
        <v>112</v>
      </c>
      <c r="M18" s="39">
        <f t="shared" si="2"/>
        <v>4808</v>
      </c>
    </row>
    <row r="19">
      <c r="A19" s="18">
        <v>18.0</v>
      </c>
      <c r="B19" s="13">
        <v>45702.0</v>
      </c>
      <c r="C19" s="14" t="s">
        <v>227</v>
      </c>
      <c r="D19" s="18" t="s">
        <v>56</v>
      </c>
      <c r="E19" s="14" t="s">
        <v>228</v>
      </c>
      <c r="F19" s="14" t="s">
        <v>179</v>
      </c>
      <c r="G19" s="14" t="s">
        <v>180</v>
      </c>
      <c r="H19" s="19">
        <v>0.0</v>
      </c>
      <c r="I19" s="19">
        <v>0.0</v>
      </c>
      <c r="J19" s="39">
        <f t="shared" si="1"/>
        <v>0</v>
      </c>
      <c r="K19" s="19">
        <v>0.0</v>
      </c>
      <c r="L19" s="18" t="s">
        <v>86</v>
      </c>
      <c r="M19" s="39">
        <f t="shared" si="2"/>
        <v>0</v>
      </c>
    </row>
    <row r="20">
      <c r="A20" s="18">
        <v>19.0</v>
      </c>
      <c r="B20" s="13">
        <v>45704.0</v>
      </c>
      <c r="C20" s="14" t="s">
        <v>229</v>
      </c>
      <c r="D20" s="18" t="s">
        <v>56</v>
      </c>
      <c r="E20" s="14" t="s">
        <v>98</v>
      </c>
      <c r="F20" s="14" t="s">
        <v>125</v>
      </c>
      <c r="G20" s="14" t="s">
        <v>230</v>
      </c>
      <c r="H20" s="19">
        <v>130000.0</v>
      </c>
      <c r="I20" s="19">
        <v>130000.0</v>
      </c>
      <c r="J20" s="39">
        <f t="shared" si="1"/>
        <v>0</v>
      </c>
      <c r="K20" s="19">
        <v>83650.0</v>
      </c>
      <c r="L20" s="18" t="s">
        <v>112</v>
      </c>
      <c r="M20" s="39">
        <f t="shared" si="2"/>
        <v>46350</v>
      </c>
    </row>
    <row r="21">
      <c r="A21" s="18">
        <v>20.0</v>
      </c>
      <c r="B21" s="13">
        <v>45706.0</v>
      </c>
      <c r="C21" s="14" t="s">
        <v>232</v>
      </c>
      <c r="D21" s="18" t="s">
        <v>109</v>
      </c>
      <c r="E21" s="14" t="s">
        <v>234</v>
      </c>
      <c r="F21" s="14" t="s">
        <v>118</v>
      </c>
      <c r="G21" s="14" t="s">
        <v>67</v>
      </c>
      <c r="H21" s="19">
        <v>23000.0</v>
      </c>
      <c r="I21" s="19">
        <v>23000.0</v>
      </c>
      <c r="J21" s="39">
        <f t="shared" si="1"/>
        <v>0</v>
      </c>
      <c r="K21" s="19">
        <v>0.0</v>
      </c>
      <c r="L21" s="18" t="s">
        <v>86</v>
      </c>
      <c r="M21" s="39">
        <f t="shared" si="2"/>
        <v>23000</v>
      </c>
    </row>
    <row r="22">
      <c r="A22" s="18">
        <v>21.0</v>
      </c>
      <c r="B22" s="13">
        <v>45707.0</v>
      </c>
      <c r="C22" s="14" t="s">
        <v>236</v>
      </c>
      <c r="D22" s="18" t="s">
        <v>109</v>
      </c>
      <c r="E22" s="14" t="s">
        <v>237</v>
      </c>
      <c r="F22" s="14" t="s">
        <v>125</v>
      </c>
      <c r="G22" s="14" t="s">
        <v>67</v>
      </c>
      <c r="H22" s="19">
        <v>14000.0</v>
      </c>
      <c r="I22" s="19">
        <v>14000.0</v>
      </c>
      <c r="J22" s="39">
        <f t="shared" si="1"/>
        <v>0</v>
      </c>
      <c r="K22" s="19">
        <v>8300.0</v>
      </c>
      <c r="L22" s="18" t="s">
        <v>112</v>
      </c>
      <c r="M22" s="39">
        <f t="shared" si="2"/>
        <v>5700</v>
      </c>
    </row>
    <row r="23">
      <c r="A23" s="18">
        <v>22.0</v>
      </c>
      <c r="B23" s="13">
        <v>45709.0</v>
      </c>
      <c r="C23" s="14" t="s">
        <v>239</v>
      </c>
      <c r="D23" s="18" t="s">
        <v>109</v>
      </c>
      <c r="E23" s="14" t="s">
        <v>203</v>
      </c>
      <c r="F23" s="14" t="s">
        <v>125</v>
      </c>
      <c r="G23" s="14" t="s">
        <v>240</v>
      </c>
      <c r="H23" s="19">
        <v>45000.0</v>
      </c>
      <c r="I23" s="19">
        <v>45000.0</v>
      </c>
      <c r="J23" s="39">
        <f t="shared" si="1"/>
        <v>0</v>
      </c>
      <c r="K23" s="19">
        <v>40905.0</v>
      </c>
      <c r="L23" s="18" t="s">
        <v>112</v>
      </c>
      <c r="M23" s="39">
        <f t="shared" si="2"/>
        <v>4095</v>
      </c>
    </row>
    <row r="24">
      <c r="A24" s="18">
        <v>23.0</v>
      </c>
      <c r="B24" s="13">
        <v>45710.0</v>
      </c>
      <c r="C24" s="14" t="s">
        <v>242</v>
      </c>
      <c r="D24" s="18" t="s">
        <v>109</v>
      </c>
      <c r="E24" s="14" t="s">
        <v>169</v>
      </c>
      <c r="F24" s="14" t="s">
        <v>179</v>
      </c>
      <c r="G24" s="14" t="s">
        <v>180</v>
      </c>
      <c r="H24" s="19">
        <v>12000.0</v>
      </c>
      <c r="I24" s="19">
        <v>12000.0</v>
      </c>
      <c r="J24" s="39">
        <f t="shared" si="1"/>
        <v>0</v>
      </c>
      <c r="K24" s="19">
        <v>0.0</v>
      </c>
      <c r="L24" s="18" t="s">
        <v>86</v>
      </c>
      <c r="M24" s="39">
        <f t="shared" si="2"/>
        <v>12000</v>
      </c>
    </row>
    <row r="25">
      <c r="A25" s="18">
        <v>24.0</v>
      </c>
      <c r="B25" s="13">
        <v>45712.0</v>
      </c>
      <c r="C25" s="14" t="s">
        <v>247</v>
      </c>
      <c r="D25" s="18" t="s">
        <v>56</v>
      </c>
      <c r="E25" s="14" t="s">
        <v>169</v>
      </c>
      <c r="F25" s="14" t="s">
        <v>125</v>
      </c>
      <c r="G25" s="14" t="s">
        <v>67</v>
      </c>
      <c r="H25" s="19">
        <v>4000.0</v>
      </c>
      <c r="I25" s="19">
        <v>4000.0</v>
      </c>
      <c r="J25" s="39">
        <f t="shared" si="1"/>
        <v>0</v>
      </c>
      <c r="K25" s="19">
        <v>0.0</v>
      </c>
      <c r="L25" s="18" t="s">
        <v>86</v>
      </c>
      <c r="M25" s="39">
        <f t="shared" si="2"/>
        <v>4000</v>
      </c>
    </row>
    <row r="26">
      <c r="A26" s="18">
        <v>25.0</v>
      </c>
      <c r="B26" s="13">
        <v>45713.0</v>
      </c>
      <c r="C26" s="14" t="s">
        <v>239</v>
      </c>
      <c r="D26" s="18" t="s">
        <v>109</v>
      </c>
      <c r="E26" s="14" t="s">
        <v>203</v>
      </c>
      <c r="F26" s="14" t="s">
        <v>66</v>
      </c>
      <c r="G26" s="14" t="s">
        <v>251</v>
      </c>
      <c r="H26" s="19">
        <v>289000.0</v>
      </c>
      <c r="I26" s="19">
        <v>289000.0</v>
      </c>
      <c r="J26" s="39">
        <f t="shared" si="1"/>
        <v>0</v>
      </c>
      <c r="K26" s="19">
        <v>272000.0</v>
      </c>
      <c r="L26" s="18" t="s">
        <v>112</v>
      </c>
      <c r="M26" s="39">
        <f t="shared" si="2"/>
        <v>17000</v>
      </c>
    </row>
    <row r="27">
      <c r="A27" s="18">
        <v>26.0</v>
      </c>
      <c r="B27" s="13">
        <v>45714.0</v>
      </c>
      <c r="C27" s="14" t="s">
        <v>256</v>
      </c>
      <c r="D27" s="18" t="s">
        <v>109</v>
      </c>
      <c r="E27" s="14" t="s">
        <v>193</v>
      </c>
      <c r="F27" s="14" t="s">
        <v>179</v>
      </c>
      <c r="G27" s="14" t="s">
        <v>180</v>
      </c>
      <c r="H27" s="19">
        <v>0.0</v>
      </c>
      <c r="I27" s="19">
        <v>0.0</v>
      </c>
      <c r="J27" s="39">
        <f t="shared" si="1"/>
        <v>0</v>
      </c>
      <c r="K27" s="19">
        <v>0.0</v>
      </c>
      <c r="L27" s="18" t="s">
        <v>112</v>
      </c>
      <c r="M27" s="39">
        <f t="shared" si="2"/>
        <v>0</v>
      </c>
    </row>
    <row r="28">
      <c r="A28" s="18">
        <v>27.0</v>
      </c>
      <c r="B28" s="13">
        <v>45715.0</v>
      </c>
      <c r="C28" s="14" t="s">
        <v>257</v>
      </c>
      <c r="D28" s="18" t="s">
        <v>56</v>
      </c>
      <c r="E28" s="14" t="s">
        <v>258</v>
      </c>
      <c r="F28" s="14" t="s">
        <v>125</v>
      </c>
      <c r="G28" s="14" t="s">
        <v>67</v>
      </c>
      <c r="H28" s="19">
        <v>75000.0</v>
      </c>
      <c r="I28" s="19">
        <v>75000.0</v>
      </c>
      <c r="J28" s="39">
        <f t="shared" si="1"/>
        <v>0</v>
      </c>
      <c r="K28" s="19">
        <v>13000.0</v>
      </c>
      <c r="L28" s="18" t="s">
        <v>112</v>
      </c>
      <c r="M28" s="39">
        <f t="shared" si="2"/>
        <v>62000</v>
      </c>
    </row>
    <row r="29">
      <c r="A29" s="23">
        <v>28.0</v>
      </c>
      <c r="B29" s="20">
        <v>45718.0</v>
      </c>
      <c r="C29" s="21" t="s">
        <v>260</v>
      </c>
      <c r="D29" s="23" t="s">
        <v>109</v>
      </c>
      <c r="E29" s="21" t="s">
        <v>261</v>
      </c>
      <c r="F29" s="21" t="s">
        <v>262</v>
      </c>
      <c r="G29" s="21" t="s">
        <v>251</v>
      </c>
      <c r="H29" s="22">
        <v>47000.0</v>
      </c>
      <c r="I29" s="22">
        <v>47000.0</v>
      </c>
      <c r="J29" s="40">
        <f t="shared" si="1"/>
        <v>0</v>
      </c>
      <c r="K29" s="22">
        <v>45500.0</v>
      </c>
      <c r="L29" s="23" t="s">
        <v>112</v>
      </c>
      <c r="M29" s="40">
        <f t="shared" si="2"/>
        <v>1500</v>
      </c>
    </row>
    <row r="30">
      <c r="A30" s="12">
        <v>29.0</v>
      </c>
      <c r="B30" s="9">
        <v>45721.0</v>
      </c>
      <c r="C30" s="10" t="s">
        <v>268</v>
      </c>
      <c r="D30" s="12" t="s">
        <v>109</v>
      </c>
      <c r="E30" s="10" t="s">
        <v>203</v>
      </c>
      <c r="F30" s="10" t="s">
        <v>270</v>
      </c>
      <c r="G30" s="10" t="s">
        <v>271</v>
      </c>
      <c r="H30" s="11">
        <v>3500.0</v>
      </c>
      <c r="I30" s="11">
        <v>3500.0</v>
      </c>
      <c r="J30" s="17">
        <f t="shared" si="1"/>
        <v>0</v>
      </c>
      <c r="K30" s="11">
        <v>2500.0</v>
      </c>
      <c r="L30" s="12" t="s">
        <v>112</v>
      </c>
      <c r="M30" s="17">
        <f t="shared" si="2"/>
        <v>1000</v>
      </c>
    </row>
    <row r="31">
      <c r="A31" s="12">
        <v>30.0</v>
      </c>
      <c r="B31" s="9">
        <v>45724.0</v>
      </c>
      <c r="C31" s="10" t="s">
        <v>268</v>
      </c>
      <c r="D31" s="12" t="s">
        <v>109</v>
      </c>
      <c r="E31" s="10" t="s">
        <v>203</v>
      </c>
      <c r="F31" s="10" t="s">
        <v>275</v>
      </c>
      <c r="G31" s="10" t="s">
        <v>276</v>
      </c>
      <c r="H31" s="11">
        <v>4500.0</v>
      </c>
      <c r="I31" s="11">
        <v>4500.0</v>
      </c>
      <c r="J31" s="17">
        <f t="shared" si="1"/>
        <v>0</v>
      </c>
      <c r="K31" s="11">
        <v>3000.0</v>
      </c>
      <c r="L31" s="12" t="s">
        <v>112</v>
      </c>
      <c r="M31" s="17">
        <f t="shared" si="2"/>
        <v>1500</v>
      </c>
    </row>
    <row r="32">
      <c r="A32" s="12">
        <v>31.0</v>
      </c>
      <c r="B32" s="9">
        <v>45727.0</v>
      </c>
      <c r="C32" s="10" t="s">
        <v>277</v>
      </c>
      <c r="D32" s="12" t="s">
        <v>56</v>
      </c>
      <c r="E32" s="10" t="s">
        <v>278</v>
      </c>
      <c r="F32" s="10" t="s">
        <v>125</v>
      </c>
      <c r="G32" s="10" t="s">
        <v>67</v>
      </c>
      <c r="H32" s="11">
        <v>17000.0</v>
      </c>
      <c r="I32" s="11">
        <v>17000.0</v>
      </c>
      <c r="J32" s="17">
        <f t="shared" si="1"/>
        <v>0</v>
      </c>
      <c r="K32" s="11">
        <v>8500.0</v>
      </c>
      <c r="L32" s="12" t="s">
        <v>112</v>
      </c>
      <c r="M32" s="17">
        <f t="shared" si="2"/>
        <v>8500</v>
      </c>
    </row>
    <row r="33">
      <c r="A33" s="12">
        <v>32.0</v>
      </c>
      <c r="B33" s="9">
        <v>45730.0</v>
      </c>
      <c r="C33" s="10" t="s">
        <v>279</v>
      </c>
      <c r="D33" s="12" t="s">
        <v>56</v>
      </c>
      <c r="E33" s="10" t="s">
        <v>280</v>
      </c>
      <c r="F33" s="10" t="s">
        <v>281</v>
      </c>
      <c r="G33" s="10" t="s">
        <v>56</v>
      </c>
      <c r="H33" s="11">
        <v>30000.0</v>
      </c>
      <c r="I33" s="11">
        <v>30000.0</v>
      </c>
      <c r="J33" s="17">
        <f t="shared" si="1"/>
        <v>0</v>
      </c>
      <c r="K33" s="11">
        <v>5125.0</v>
      </c>
      <c r="L33" s="12" t="s">
        <v>112</v>
      </c>
      <c r="M33" s="17">
        <f t="shared" si="2"/>
        <v>24875</v>
      </c>
    </row>
    <row r="34">
      <c r="A34" s="12">
        <v>33.0</v>
      </c>
      <c r="B34" s="9">
        <v>45732.0</v>
      </c>
      <c r="C34" s="10" t="s">
        <v>282</v>
      </c>
      <c r="D34" s="12" t="s">
        <v>56</v>
      </c>
      <c r="E34" s="10" t="s">
        <v>280</v>
      </c>
      <c r="F34" s="10" t="s">
        <v>281</v>
      </c>
      <c r="G34" s="10" t="s">
        <v>56</v>
      </c>
      <c r="H34" s="11">
        <v>30000.0</v>
      </c>
      <c r="I34" s="11">
        <v>30000.0</v>
      </c>
      <c r="J34" s="17">
        <f t="shared" si="1"/>
        <v>0</v>
      </c>
      <c r="K34" s="11">
        <v>5125.0</v>
      </c>
      <c r="L34" s="12" t="s">
        <v>112</v>
      </c>
      <c r="M34" s="17">
        <f t="shared" si="2"/>
        <v>24875</v>
      </c>
    </row>
    <row r="35">
      <c r="A35" s="12">
        <v>34.0</v>
      </c>
      <c r="B35" s="9">
        <v>45735.0</v>
      </c>
      <c r="C35" s="10" t="s">
        <v>283</v>
      </c>
      <c r="D35" s="12" t="s">
        <v>56</v>
      </c>
      <c r="E35" s="10" t="s">
        <v>284</v>
      </c>
      <c r="F35" s="10" t="s">
        <v>286</v>
      </c>
      <c r="G35" s="10" t="s">
        <v>229</v>
      </c>
      <c r="H35" s="11">
        <v>25000.0</v>
      </c>
      <c r="I35" s="11">
        <v>25000.0</v>
      </c>
      <c r="J35" s="17">
        <f t="shared" si="1"/>
        <v>0</v>
      </c>
      <c r="K35" s="11">
        <v>15625.0</v>
      </c>
      <c r="L35" s="12" t="s">
        <v>112</v>
      </c>
      <c r="M35" s="17">
        <f t="shared" si="2"/>
        <v>9375</v>
      </c>
    </row>
    <row r="36">
      <c r="A36" s="12">
        <v>35.0</v>
      </c>
      <c r="B36" s="9">
        <v>45737.0</v>
      </c>
      <c r="C36" s="10" t="s">
        <v>288</v>
      </c>
      <c r="D36" s="12" t="s">
        <v>56</v>
      </c>
      <c r="E36" s="10" t="s">
        <v>289</v>
      </c>
      <c r="F36" s="10" t="s">
        <v>291</v>
      </c>
      <c r="G36" s="10" t="s">
        <v>56</v>
      </c>
      <c r="H36" s="11">
        <v>30000.0</v>
      </c>
      <c r="I36" s="11">
        <v>30000.0</v>
      </c>
      <c r="J36" s="17">
        <f t="shared" si="1"/>
        <v>0</v>
      </c>
      <c r="K36" s="11">
        <v>5125.0</v>
      </c>
      <c r="L36" s="12" t="s">
        <v>112</v>
      </c>
      <c r="M36" s="17">
        <f t="shared" si="2"/>
        <v>24875</v>
      </c>
    </row>
    <row r="37">
      <c r="A37" s="12">
        <v>36.0</v>
      </c>
      <c r="B37" s="9">
        <v>45740.0</v>
      </c>
      <c r="C37" s="10" t="s">
        <v>292</v>
      </c>
      <c r="D37" s="12" t="s">
        <v>109</v>
      </c>
      <c r="E37" s="10" t="s">
        <v>193</v>
      </c>
      <c r="F37" s="10" t="s">
        <v>294</v>
      </c>
      <c r="G37" s="10" t="s">
        <v>229</v>
      </c>
      <c r="H37" s="11">
        <v>140000.0</v>
      </c>
      <c r="I37" s="11">
        <v>140000.0</v>
      </c>
      <c r="J37" s="17">
        <f t="shared" si="1"/>
        <v>0</v>
      </c>
      <c r="K37" s="11">
        <v>75000.0</v>
      </c>
      <c r="L37" s="12" t="s">
        <v>112</v>
      </c>
      <c r="M37" s="17">
        <f t="shared" si="2"/>
        <v>65000</v>
      </c>
    </row>
    <row r="38">
      <c r="A38" s="12">
        <v>37.0</v>
      </c>
      <c r="B38" s="9">
        <v>45742.0</v>
      </c>
      <c r="C38" s="10" t="s">
        <v>302</v>
      </c>
      <c r="D38" s="12" t="s">
        <v>109</v>
      </c>
      <c r="E38" s="10" t="s">
        <v>193</v>
      </c>
      <c r="F38" s="10" t="s">
        <v>294</v>
      </c>
      <c r="G38" s="10" t="s">
        <v>229</v>
      </c>
      <c r="H38" s="11">
        <v>140000.0</v>
      </c>
      <c r="I38" s="11">
        <v>140000.0</v>
      </c>
      <c r="J38" s="17">
        <f t="shared" si="1"/>
        <v>0</v>
      </c>
      <c r="K38" s="11">
        <v>75000.0</v>
      </c>
      <c r="L38" s="12" t="s">
        <v>112</v>
      </c>
      <c r="M38" s="17">
        <f t="shared" si="2"/>
        <v>65000</v>
      </c>
    </row>
    <row r="39">
      <c r="A39" s="12">
        <v>38.0</v>
      </c>
      <c r="B39" s="9">
        <v>45744.0</v>
      </c>
      <c r="C39" s="10" t="s">
        <v>311</v>
      </c>
      <c r="D39" s="12" t="s">
        <v>109</v>
      </c>
      <c r="E39" s="10" t="s">
        <v>278</v>
      </c>
      <c r="F39" s="10" t="s">
        <v>262</v>
      </c>
      <c r="G39" s="10" t="s">
        <v>251</v>
      </c>
      <c r="H39" s="11">
        <v>155400.0</v>
      </c>
      <c r="I39" s="11">
        <v>155400.0</v>
      </c>
      <c r="J39" s="17">
        <f t="shared" si="1"/>
        <v>0</v>
      </c>
      <c r="K39" s="11">
        <v>138500.0</v>
      </c>
      <c r="L39" s="12" t="s">
        <v>112</v>
      </c>
      <c r="M39" s="17">
        <f t="shared" si="2"/>
        <v>16900</v>
      </c>
    </row>
    <row r="40">
      <c r="A40" s="12">
        <v>39.0</v>
      </c>
      <c r="B40" s="9">
        <v>45746.0</v>
      </c>
      <c r="C40" s="10" t="s">
        <v>324</v>
      </c>
      <c r="D40" s="12" t="s">
        <v>109</v>
      </c>
      <c r="E40" s="10" t="s">
        <v>278</v>
      </c>
      <c r="F40" s="10" t="s">
        <v>262</v>
      </c>
      <c r="G40" s="10" t="s">
        <v>251</v>
      </c>
      <c r="H40" s="11">
        <v>155400.0</v>
      </c>
      <c r="I40" s="11">
        <v>155400.0</v>
      </c>
      <c r="J40" s="17">
        <f t="shared" si="1"/>
        <v>0</v>
      </c>
      <c r="K40" s="11">
        <v>138500.0</v>
      </c>
      <c r="L40" s="12" t="s">
        <v>112</v>
      </c>
      <c r="M40" s="17">
        <f t="shared" si="2"/>
        <v>16900</v>
      </c>
    </row>
    <row r="41">
      <c r="A41" s="12">
        <v>40.0</v>
      </c>
      <c r="B41" s="9">
        <v>45750.0</v>
      </c>
      <c r="C41" s="10" t="s">
        <v>331</v>
      </c>
      <c r="D41" s="12" t="s">
        <v>109</v>
      </c>
      <c r="E41" s="10" t="s">
        <v>333</v>
      </c>
      <c r="F41" s="10" t="s">
        <v>262</v>
      </c>
      <c r="G41" s="10" t="s">
        <v>251</v>
      </c>
      <c r="H41" s="11">
        <v>39500.0</v>
      </c>
      <c r="I41" s="11">
        <v>39500.0</v>
      </c>
      <c r="J41" s="17">
        <f t="shared" si="1"/>
        <v>0</v>
      </c>
      <c r="K41" s="11">
        <v>36472.0</v>
      </c>
      <c r="L41" s="12" t="s">
        <v>176</v>
      </c>
      <c r="M41" s="17">
        <f t="shared" si="2"/>
        <v>3028</v>
      </c>
    </row>
    <row r="42">
      <c r="A42" s="12">
        <v>41.0</v>
      </c>
      <c r="B42" s="9">
        <v>45753.0</v>
      </c>
      <c r="C42" s="10" t="s">
        <v>345</v>
      </c>
      <c r="D42" s="12" t="s">
        <v>109</v>
      </c>
      <c r="E42" s="10" t="s">
        <v>333</v>
      </c>
      <c r="F42" s="10" t="s">
        <v>262</v>
      </c>
      <c r="G42" s="10" t="s">
        <v>251</v>
      </c>
      <c r="H42" s="11">
        <v>39500.0</v>
      </c>
      <c r="I42" s="11">
        <v>39500.0</v>
      </c>
      <c r="J42" s="17">
        <f t="shared" si="1"/>
        <v>0</v>
      </c>
      <c r="K42" s="11">
        <v>36472.0</v>
      </c>
      <c r="L42" s="12" t="s">
        <v>176</v>
      </c>
      <c r="M42" s="17">
        <f t="shared" si="2"/>
        <v>3028</v>
      </c>
    </row>
    <row r="43">
      <c r="A43" s="12">
        <v>42.0</v>
      </c>
      <c r="B43" s="9">
        <v>45757.0</v>
      </c>
      <c r="C43" s="10" t="s">
        <v>349</v>
      </c>
      <c r="D43" s="12" t="s">
        <v>56</v>
      </c>
      <c r="E43" s="10" t="s">
        <v>280</v>
      </c>
      <c r="F43" s="10" t="s">
        <v>125</v>
      </c>
      <c r="G43" s="10" t="s">
        <v>67</v>
      </c>
      <c r="H43" s="11">
        <v>37500.0</v>
      </c>
      <c r="I43" s="11">
        <v>37500.0</v>
      </c>
      <c r="J43" s="17">
        <f t="shared" si="1"/>
        <v>0</v>
      </c>
      <c r="K43" s="11">
        <v>0.0</v>
      </c>
      <c r="L43" s="12" t="s">
        <v>86</v>
      </c>
      <c r="M43" s="17">
        <f t="shared" si="2"/>
        <v>37500</v>
      </c>
    </row>
    <row r="44">
      <c r="A44" s="12">
        <v>43.0</v>
      </c>
      <c r="B44" s="9">
        <v>45760.0</v>
      </c>
      <c r="C44" s="10" t="s">
        <v>279</v>
      </c>
      <c r="D44" s="12" t="s">
        <v>56</v>
      </c>
      <c r="E44" s="10" t="s">
        <v>280</v>
      </c>
      <c r="F44" s="10" t="s">
        <v>125</v>
      </c>
      <c r="G44" s="10" t="s">
        <v>67</v>
      </c>
      <c r="H44" s="11">
        <v>37500.0</v>
      </c>
      <c r="I44" s="11">
        <v>37500.0</v>
      </c>
      <c r="J44" s="17">
        <f t="shared" si="1"/>
        <v>0</v>
      </c>
      <c r="K44" s="11">
        <v>0.0</v>
      </c>
      <c r="L44" s="12" t="s">
        <v>86</v>
      </c>
      <c r="M44" s="17">
        <f t="shared" si="2"/>
        <v>37500</v>
      </c>
    </row>
    <row r="45">
      <c r="A45" s="12">
        <v>44.0</v>
      </c>
      <c r="B45" s="9">
        <v>45764.0</v>
      </c>
      <c r="C45" s="10" t="s">
        <v>353</v>
      </c>
      <c r="D45" s="12" t="s">
        <v>109</v>
      </c>
      <c r="E45" s="10" t="s">
        <v>354</v>
      </c>
      <c r="F45" s="10" t="s">
        <v>125</v>
      </c>
      <c r="G45" s="10" t="s">
        <v>67</v>
      </c>
      <c r="H45" s="11">
        <v>75000.0</v>
      </c>
      <c r="I45" s="11">
        <v>75000.0</v>
      </c>
      <c r="J45" s="17">
        <f t="shared" si="1"/>
        <v>0</v>
      </c>
      <c r="K45" s="11">
        <v>0.0</v>
      </c>
      <c r="L45" s="12" t="s">
        <v>86</v>
      </c>
      <c r="M45" s="17">
        <f t="shared" si="2"/>
        <v>75000</v>
      </c>
    </row>
    <row r="46">
      <c r="A46" s="12">
        <v>45.0</v>
      </c>
      <c r="B46" s="9">
        <v>45767.0</v>
      </c>
      <c r="C46" s="10" t="s">
        <v>277</v>
      </c>
      <c r="D46" s="12" t="s">
        <v>56</v>
      </c>
      <c r="E46" s="10" t="s">
        <v>228</v>
      </c>
      <c r="F46" s="10" t="s">
        <v>359</v>
      </c>
      <c r="G46" s="10" t="s">
        <v>360</v>
      </c>
      <c r="H46" s="11">
        <v>992000.0</v>
      </c>
      <c r="I46" s="11">
        <v>992000.0</v>
      </c>
      <c r="J46" s="17">
        <f t="shared" si="1"/>
        <v>0</v>
      </c>
      <c r="K46" s="11">
        <v>930000.0</v>
      </c>
      <c r="L46" s="12" t="s">
        <v>112</v>
      </c>
      <c r="M46" s="17">
        <f t="shared" si="2"/>
        <v>62000</v>
      </c>
    </row>
    <row r="47">
      <c r="A47" s="12">
        <v>46.0</v>
      </c>
      <c r="B47" s="9">
        <v>45771.0</v>
      </c>
      <c r="C47" s="10" t="s">
        <v>363</v>
      </c>
      <c r="D47" s="12" t="s">
        <v>109</v>
      </c>
      <c r="E47" s="10" t="s">
        <v>364</v>
      </c>
      <c r="F47" s="10" t="s">
        <v>366</v>
      </c>
      <c r="G47" s="10" t="s">
        <v>67</v>
      </c>
      <c r="H47" s="11">
        <v>10000.0</v>
      </c>
      <c r="I47" s="11">
        <v>10000.0</v>
      </c>
      <c r="J47" s="17">
        <f t="shared" si="1"/>
        <v>0</v>
      </c>
      <c r="K47" s="11">
        <v>0.0</v>
      </c>
      <c r="L47" s="12" t="s">
        <v>86</v>
      </c>
      <c r="M47" s="17">
        <f t="shared" si="2"/>
        <v>10000</v>
      </c>
    </row>
    <row r="48">
      <c r="A48" s="12">
        <v>47.0</v>
      </c>
      <c r="B48" s="9">
        <v>45773.0</v>
      </c>
      <c r="C48" s="10" t="s">
        <v>369</v>
      </c>
      <c r="D48" s="12" t="s">
        <v>109</v>
      </c>
      <c r="E48" s="10" t="s">
        <v>370</v>
      </c>
      <c r="F48" s="10" t="s">
        <v>371</v>
      </c>
      <c r="G48" s="10" t="s">
        <v>372</v>
      </c>
      <c r="H48" s="11">
        <v>8000.0</v>
      </c>
      <c r="I48" s="11">
        <v>8000.0</v>
      </c>
      <c r="J48" s="17">
        <f t="shared" si="1"/>
        <v>0</v>
      </c>
      <c r="K48" s="11">
        <v>6000.0</v>
      </c>
      <c r="L48" s="12" t="s">
        <v>112</v>
      </c>
      <c r="M48" s="17">
        <f t="shared" si="2"/>
        <v>2000</v>
      </c>
    </row>
    <row r="49">
      <c r="A49" s="12">
        <v>48.0</v>
      </c>
      <c r="B49" s="9">
        <v>45776.0</v>
      </c>
      <c r="C49" s="10" t="s">
        <v>373</v>
      </c>
      <c r="D49" s="12" t="s">
        <v>109</v>
      </c>
      <c r="E49" s="10" t="s">
        <v>374</v>
      </c>
      <c r="F49" s="10" t="s">
        <v>375</v>
      </c>
      <c r="G49" s="10" t="s">
        <v>67</v>
      </c>
      <c r="H49" s="11">
        <v>15000.0</v>
      </c>
      <c r="I49" s="11">
        <v>15000.0</v>
      </c>
      <c r="J49" s="17">
        <f t="shared" si="1"/>
        <v>0</v>
      </c>
      <c r="K49" s="11">
        <v>0.0</v>
      </c>
      <c r="L49" s="12" t="s">
        <v>86</v>
      </c>
      <c r="M49" s="17">
        <f t="shared" si="2"/>
        <v>15000</v>
      </c>
    </row>
    <row r="50">
      <c r="A50" s="12">
        <v>49.0</v>
      </c>
      <c r="B50" s="9">
        <v>45782.0</v>
      </c>
      <c r="C50" s="10" t="s">
        <v>376</v>
      </c>
      <c r="D50" s="12" t="s">
        <v>56</v>
      </c>
      <c r="E50" s="10" t="s">
        <v>193</v>
      </c>
      <c r="F50" s="10" t="s">
        <v>179</v>
      </c>
      <c r="G50" s="10" t="s">
        <v>180</v>
      </c>
      <c r="H50" s="11">
        <v>15000.0</v>
      </c>
      <c r="I50" s="11">
        <v>15000.0</v>
      </c>
      <c r="J50" s="17">
        <f t="shared" si="1"/>
        <v>0</v>
      </c>
      <c r="K50" s="11">
        <v>0.0</v>
      </c>
      <c r="L50" s="12" t="s">
        <v>86</v>
      </c>
      <c r="M50" s="17">
        <f t="shared" si="2"/>
        <v>15000</v>
      </c>
    </row>
    <row r="51">
      <c r="A51" s="12">
        <v>50.0</v>
      </c>
      <c r="B51" s="9">
        <v>45785.0</v>
      </c>
      <c r="C51" s="10" t="s">
        <v>377</v>
      </c>
      <c r="D51" s="12" t="s">
        <v>56</v>
      </c>
      <c r="E51" s="10" t="s">
        <v>378</v>
      </c>
      <c r="F51" s="10" t="s">
        <v>379</v>
      </c>
      <c r="G51" s="10" t="s">
        <v>67</v>
      </c>
      <c r="H51" s="11">
        <v>38000.0</v>
      </c>
      <c r="I51" s="11">
        <v>38000.0</v>
      </c>
      <c r="J51" s="17">
        <f t="shared" si="1"/>
        <v>0</v>
      </c>
      <c r="K51" s="11">
        <v>5500.0</v>
      </c>
      <c r="L51" s="12" t="s">
        <v>112</v>
      </c>
      <c r="M51" s="17">
        <f t="shared" si="2"/>
        <v>32500</v>
      </c>
    </row>
    <row r="52">
      <c r="A52" s="12">
        <v>51.0</v>
      </c>
      <c r="B52" s="9">
        <v>45789.0</v>
      </c>
      <c r="C52" s="10" t="s">
        <v>380</v>
      </c>
      <c r="D52" s="12" t="s">
        <v>56</v>
      </c>
      <c r="E52" s="10" t="s">
        <v>284</v>
      </c>
      <c r="F52" s="10" t="s">
        <v>379</v>
      </c>
      <c r="G52" s="10" t="s">
        <v>67</v>
      </c>
      <c r="H52" s="11">
        <v>30000.0</v>
      </c>
      <c r="I52" s="11">
        <v>30000.0</v>
      </c>
      <c r="J52" s="17">
        <f t="shared" si="1"/>
        <v>0</v>
      </c>
      <c r="K52" s="11">
        <v>4500.0</v>
      </c>
      <c r="L52" s="12" t="s">
        <v>112</v>
      </c>
      <c r="M52" s="17">
        <f t="shared" si="2"/>
        <v>25500</v>
      </c>
    </row>
    <row r="53">
      <c r="A53" s="12">
        <v>52.0</v>
      </c>
      <c r="B53" s="9">
        <v>45789.0</v>
      </c>
      <c r="C53" s="10" t="s">
        <v>381</v>
      </c>
      <c r="D53" s="12" t="s">
        <v>56</v>
      </c>
      <c r="E53" s="10" t="s">
        <v>284</v>
      </c>
      <c r="F53" s="10" t="s">
        <v>379</v>
      </c>
      <c r="G53" s="10" t="s">
        <v>67</v>
      </c>
      <c r="H53" s="11">
        <v>30000.0</v>
      </c>
      <c r="I53" s="11">
        <v>30000.0</v>
      </c>
      <c r="J53" s="17">
        <f t="shared" si="1"/>
        <v>0</v>
      </c>
      <c r="K53" s="11">
        <v>4500.0</v>
      </c>
      <c r="L53" s="12" t="s">
        <v>112</v>
      </c>
      <c r="M53" s="17">
        <f t="shared" si="2"/>
        <v>25500</v>
      </c>
    </row>
    <row r="54">
      <c r="A54" s="12">
        <v>53.0</v>
      </c>
      <c r="B54" s="9">
        <v>45789.0</v>
      </c>
      <c r="C54" s="10" t="s">
        <v>382</v>
      </c>
      <c r="D54" s="12" t="s">
        <v>56</v>
      </c>
      <c r="E54" s="10" t="s">
        <v>284</v>
      </c>
      <c r="F54" s="10" t="s">
        <v>379</v>
      </c>
      <c r="G54" s="10" t="s">
        <v>67</v>
      </c>
      <c r="H54" s="11">
        <v>30000.0</v>
      </c>
      <c r="I54" s="11">
        <v>30000.0</v>
      </c>
      <c r="J54" s="17">
        <f t="shared" si="1"/>
        <v>0</v>
      </c>
      <c r="K54" s="11">
        <v>4500.0</v>
      </c>
      <c r="L54" s="12" t="s">
        <v>112</v>
      </c>
      <c r="M54" s="17">
        <f t="shared" si="2"/>
        <v>25500</v>
      </c>
    </row>
    <row r="55">
      <c r="A55" s="12">
        <v>54.0</v>
      </c>
      <c r="B55" s="9">
        <v>45803.0</v>
      </c>
      <c r="C55" s="10" t="s">
        <v>383</v>
      </c>
      <c r="D55" s="12" t="s">
        <v>56</v>
      </c>
      <c r="E55" s="10" t="s">
        <v>178</v>
      </c>
      <c r="F55" s="10" t="s">
        <v>379</v>
      </c>
      <c r="G55" s="10" t="s">
        <v>384</v>
      </c>
      <c r="H55" s="11">
        <v>490000.0</v>
      </c>
      <c r="I55" s="11">
        <v>490000.0</v>
      </c>
      <c r="J55" s="17">
        <f t="shared" si="1"/>
        <v>0</v>
      </c>
      <c r="K55" s="11">
        <v>110000.0</v>
      </c>
      <c r="L55" s="12" t="s">
        <v>112</v>
      </c>
      <c r="M55" s="17">
        <f t="shared" si="2"/>
        <v>380000</v>
      </c>
    </row>
    <row r="56">
      <c r="A56" s="12">
        <v>55.0</v>
      </c>
      <c r="B56" s="9">
        <v>45805.0</v>
      </c>
      <c r="C56" s="10" t="s">
        <v>385</v>
      </c>
      <c r="D56" s="12" t="s">
        <v>109</v>
      </c>
      <c r="E56" s="10" t="s">
        <v>154</v>
      </c>
      <c r="F56" s="10" t="s">
        <v>125</v>
      </c>
      <c r="G56" s="10" t="s">
        <v>386</v>
      </c>
      <c r="H56" s="11">
        <v>20000.0</v>
      </c>
      <c r="I56" s="11">
        <v>20000.0</v>
      </c>
      <c r="J56" s="17">
        <f t="shared" si="1"/>
        <v>0</v>
      </c>
      <c r="K56" s="11">
        <v>26000.0</v>
      </c>
      <c r="L56" s="12" t="s">
        <v>112</v>
      </c>
      <c r="M56" s="17">
        <f t="shared" si="2"/>
        <v>-6000</v>
      </c>
    </row>
    <row r="57">
      <c r="A57" s="12">
        <v>56.0</v>
      </c>
      <c r="B57" s="9">
        <v>45808.0</v>
      </c>
      <c r="C57" s="10" t="s">
        <v>377</v>
      </c>
      <c r="D57" s="12" t="s">
        <v>56</v>
      </c>
      <c r="E57" s="10" t="s">
        <v>378</v>
      </c>
      <c r="F57" s="10" t="s">
        <v>387</v>
      </c>
      <c r="G57" s="10" t="s">
        <v>67</v>
      </c>
      <c r="H57" s="11">
        <v>70000.0</v>
      </c>
      <c r="I57" s="11">
        <v>70000.0</v>
      </c>
      <c r="J57" s="17">
        <f t="shared" si="1"/>
        <v>0</v>
      </c>
      <c r="K57" s="11">
        <v>3500.0</v>
      </c>
      <c r="L57" s="12" t="s">
        <v>112</v>
      </c>
      <c r="M57" s="17">
        <f t="shared" si="2"/>
        <v>66500</v>
      </c>
    </row>
    <row r="58">
      <c r="A58" s="12">
        <v>57.0</v>
      </c>
      <c r="B58" s="9">
        <v>45812.0</v>
      </c>
      <c r="C58" s="10" t="s">
        <v>388</v>
      </c>
      <c r="D58" s="12" t="s">
        <v>109</v>
      </c>
      <c r="E58" s="10" t="s">
        <v>280</v>
      </c>
      <c r="F58" s="10" t="s">
        <v>379</v>
      </c>
      <c r="G58" s="10" t="s">
        <v>67</v>
      </c>
      <c r="H58" s="11">
        <v>45000.0</v>
      </c>
      <c r="I58" s="11">
        <v>45000.0</v>
      </c>
      <c r="J58" s="17">
        <f t="shared" si="1"/>
        <v>0</v>
      </c>
      <c r="K58" s="11">
        <v>9000.0</v>
      </c>
      <c r="L58" s="12" t="s">
        <v>112</v>
      </c>
      <c r="M58" s="17">
        <f t="shared" si="2"/>
        <v>36000</v>
      </c>
    </row>
    <row r="59">
      <c r="A59" s="12">
        <v>58.0</v>
      </c>
      <c r="B59" s="9">
        <v>45813.0</v>
      </c>
      <c r="C59" s="10" t="s">
        <v>389</v>
      </c>
      <c r="D59" s="12" t="s">
        <v>56</v>
      </c>
      <c r="E59" s="10" t="s">
        <v>280</v>
      </c>
      <c r="F59" s="10" t="s">
        <v>379</v>
      </c>
      <c r="G59" s="10" t="s">
        <v>67</v>
      </c>
      <c r="H59" s="11">
        <v>25000.0</v>
      </c>
      <c r="I59" s="11">
        <v>25000.0</v>
      </c>
      <c r="J59" s="17">
        <f t="shared" si="1"/>
        <v>0</v>
      </c>
      <c r="K59" s="11">
        <v>4500.0</v>
      </c>
      <c r="L59" s="12" t="s">
        <v>112</v>
      </c>
      <c r="M59" s="17">
        <f t="shared" si="2"/>
        <v>20500</v>
      </c>
    </row>
    <row r="60">
      <c r="A60" s="12">
        <v>59.0</v>
      </c>
      <c r="B60" s="9">
        <v>45819.0</v>
      </c>
      <c r="C60" s="10" t="s">
        <v>382</v>
      </c>
      <c r="D60" s="12" t="s">
        <v>56</v>
      </c>
      <c r="E60" s="10" t="s">
        <v>280</v>
      </c>
      <c r="F60" s="10" t="s">
        <v>65</v>
      </c>
      <c r="G60" s="10" t="s">
        <v>67</v>
      </c>
      <c r="H60" s="11">
        <v>40000.0</v>
      </c>
      <c r="I60" s="11">
        <v>40000.0</v>
      </c>
      <c r="J60" s="17">
        <f t="shared" si="1"/>
        <v>0</v>
      </c>
      <c r="K60" s="11">
        <v>0.0</v>
      </c>
      <c r="L60" s="12" t="s">
        <v>86</v>
      </c>
      <c r="M60" s="17">
        <f t="shared" si="2"/>
        <v>40000</v>
      </c>
    </row>
    <row r="61">
      <c r="A61" s="12">
        <v>60.0</v>
      </c>
      <c r="B61" s="9">
        <v>45820.0</v>
      </c>
      <c r="C61" s="10" t="s">
        <v>277</v>
      </c>
      <c r="D61" s="12" t="s">
        <v>56</v>
      </c>
      <c r="E61" s="10" t="s">
        <v>280</v>
      </c>
      <c r="F61" s="10" t="s">
        <v>379</v>
      </c>
      <c r="G61" s="10" t="s">
        <v>67</v>
      </c>
      <c r="H61" s="11">
        <v>105000.0</v>
      </c>
      <c r="I61" s="11">
        <v>105000.0</v>
      </c>
      <c r="J61" s="17">
        <f t="shared" si="1"/>
        <v>0</v>
      </c>
      <c r="K61" s="11">
        <v>27000.0</v>
      </c>
      <c r="L61" s="12" t="s">
        <v>112</v>
      </c>
      <c r="M61" s="17">
        <f t="shared" si="2"/>
        <v>78000</v>
      </c>
    </row>
    <row r="62">
      <c r="A62" s="12">
        <v>61.0</v>
      </c>
      <c r="B62" s="9">
        <v>45821.0</v>
      </c>
      <c r="C62" s="10" t="s">
        <v>381</v>
      </c>
      <c r="D62" s="12" t="s">
        <v>56</v>
      </c>
      <c r="E62" s="10" t="s">
        <v>280</v>
      </c>
      <c r="F62" s="10" t="s">
        <v>65</v>
      </c>
      <c r="G62" s="10" t="s">
        <v>67</v>
      </c>
      <c r="H62" s="11">
        <v>40000.0</v>
      </c>
      <c r="I62" s="11">
        <v>40000.0</v>
      </c>
      <c r="J62" s="17">
        <f t="shared" si="1"/>
        <v>0</v>
      </c>
      <c r="K62" s="11">
        <v>0.0</v>
      </c>
      <c r="L62" s="12" t="s">
        <v>86</v>
      </c>
      <c r="M62" s="17">
        <f t="shared" si="2"/>
        <v>40000</v>
      </c>
    </row>
    <row r="63">
      <c r="A63" s="12">
        <v>62.0</v>
      </c>
      <c r="B63" s="9">
        <v>45823.0</v>
      </c>
      <c r="C63" s="10" t="s">
        <v>390</v>
      </c>
      <c r="D63" s="12" t="s">
        <v>56</v>
      </c>
      <c r="E63" s="10" t="s">
        <v>169</v>
      </c>
      <c r="F63" s="10" t="s">
        <v>379</v>
      </c>
      <c r="G63" s="10" t="s">
        <v>56</v>
      </c>
      <c r="H63" s="11">
        <v>6500.0</v>
      </c>
      <c r="I63" s="11">
        <v>6500.0</v>
      </c>
      <c r="J63" s="17">
        <f t="shared" si="1"/>
        <v>0</v>
      </c>
      <c r="K63" s="11">
        <v>5015.0</v>
      </c>
      <c r="L63" s="12" t="s">
        <v>112</v>
      </c>
      <c r="M63" s="17">
        <f t="shared" si="2"/>
        <v>1485</v>
      </c>
    </row>
    <row r="64">
      <c r="A64" s="12">
        <v>63.0</v>
      </c>
      <c r="B64" s="9">
        <v>45824.0</v>
      </c>
      <c r="C64" s="10" t="s">
        <v>391</v>
      </c>
      <c r="D64" s="12" t="s">
        <v>56</v>
      </c>
      <c r="E64" s="10" t="s">
        <v>280</v>
      </c>
      <c r="F64" s="10" t="s">
        <v>379</v>
      </c>
      <c r="G64" s="10" t="s">
        <v>229</v>
      </c>
      <c r="H64" s="11">
        <v>60000.0</v>
      </c>
      <c r="I64" s="11">
        <v>30000.0</v>
      </c>
      <c r="J64" s="17">
        <f t="shared" si="1"/>
        <v>30000</v>
      </c>
      <c r="K64" s="11">
        <v>17000.0</v>
      </c>
      <c r="L64" s="12" t="s">
        <v>112</v>
      </c>
      <c r="M64" s="17">
        <f t="shared" si="2"/>
        <v>43000</v>
      </c>
    </row>
    <row r="65">
      <c r="A65" s="12">
        <v>64.0</v>
      </c>
      <c r="B65" s="9">
        <v>45824.0</v>
      </c>
      <c r="C65" s="10" t="s">
        <v>380</v>
      </c>
      <c r="D65" s="12" t="s">
        <v>56</v>
      </c>
      <c r="E65" s="10" t="s">
        <v>280</v>
      </c>
      <c r="F65" s="10" t="s">
        <v>65</v>
      </c>
      <c r="G65" s="10" t="s">
        <v>67</v>
      </c>
      <c r="H65" s="11">
        <v>33000.0</v>
      </c>
      <c r="I65" s="11">
        <v>33000.0</v>
      </c>
      <c r="J65" s="17">
        <f t="shared" si="1"/>
        <v>0</v>
      </c>
      <c r="K65" s="11">
        <v>0.0</v>
      </c>
      <c r="L65" s="12" t="s">
        <v>86</v>
      </c>
      <c r="M65" s="17">
        <f t="shared" si="2"/>
        <v>33000</v>
      </c>
    </row>
    <row r="66">
      <c r="A66" s="12">
        <v>65.0</v>
      </c>
      <c r="B66" s="9">
        <v>45826.0</v>
      </c>
      <c r="C66" s="10" t="s">
        <v>257</v>
      </c>
      <c r="D66" s="12" t="s">
        <v>56</v>
      </c>
      <c r="E66" s="10" t="s">
        <v>154</v>
      </c>
      <c r="F66" s="10" t="s">
        <v>125</v>
      </c>
      <c r="G66" s="10" t="s">
        <v>392</v>
      </c>
      <c r="H66" s="11">
        <v>25000.0</v>
      </c>
      <c r="I66" s="11">
        <v>25000.0</v>
      </c>
      <c r="J66" s="17">
        <f t="shared" si="1"/>
        <v>0</v>
      </c>
      <c r="K66" s="11">
        <v>18000.0</v>
      </c>
      <c r="L66" s="12" t="s">
        <v>112</v>
      </c>
      <c r="M66" s="17">
        <f t="shared" si="2"/>
        <v>7000</v>
      </c>
    </row>
    <row r="67">
      <c r="A67" s="12">
        <v>66.0</v>
      </c>
      <c r="B67" s="9">
        <v>45828.0</v>
      </c>
      <c r="C67" s="10" t="s">
        <v>393</v>
      </c>
      <c r="D67" s="12" t="s">
        <v>56</v>
      </c>
      <c r="E67" s="10" t="s">
        <v>154</v>
      </c>
      <c r="F67" s="10" t="s">
        <v>125</v>
      </c>
      <c r="G67" s="10" t="s">
        <v>392</v>
      </c>
      <c r="H67" s="11">
        <v>15000.0</v>
      </c>
      <c r="I67" s="11">
        <v>5000.0</v>
      </c>
      <c r="J67" s="17">
        <f t="shared" si="1"/>
        <v>10000</v>
      </c>
      <c r="K67" s="11">
        <v>13000.0</v>
      </c>
      <c r="L67" s="12" t="s">
        <v>112</v>
      </c>
      <c r="M67" s="17">
        <f t="shared" si="2"/>
        <v>2000</v>
      </c>
    </row>
    <row r="68">
      <c r="A68" s="12">
        <v>67.0</v>
      </c>
      <c r="B68" s="9">
        <v>45847.0</v>
      </c>
      <c r="C68" s="10" t="s">
        <v>395</v>
      </c>
      <c r="D68" s="12" t="s">
        <v>109</v>
      </c>
      <c r="E68" s="10" t="s">
        <v>98</v>
      </c>
      <c r="F68" s="10" t="s">
        <v>179</v>
      </c>
      <c r="G68" s="10" t="s">
        <v>180</v>
      </c>
      <c r="H68" s="11">
        <v>11700.0</v>
      </c>
      <c r="I68" s="11">
        <v>11700.0</v>
      </c>
      <c r="J68" s="17">
        <f t="shared" si="1"/>
        <v>0</v>
      </c>
      <c r="K68" s="11">
        <v>0.0</v>
      </c>
      <c r="L68" s="12" t="s">
        <v>86</v>
      </c>
      <c r="M68" s="17">
        <f t="shared" si="2"/>
        <v>11700</v>
      </c>
    </row>
    <row r="69">
      <c r="A69" s="12">
        <v>68.0</v>
      </c>
      <c r="B69" s="9">
        <v>45850.0</v>
      </c>
      <c r="C69" s="10" t="s">
        <v>396</v>
      </c>
      <c r="D69" s="12" t="s">
        <v>56</v>
      </c>
      <c r="E69" s="10" t="s">
        <v>397</v>
      </c>
      <c r="F69" s="10" t="s">
        <v>125</v>
      </c>
      <c r="G69" s="10" t="s">
        <v>398</v>
      </c>
      <c r="H69" s="11">
        <v>70000.0</v>
      </c>
      <c r="I69" s="11">
        <v>70000.0</v>
      </c>
      <c r="J69" s="17">
        <f t="shared" si="1"/>
        <v>0</v>
      </c>
      <c r="K69" s="11">
        <v>42800.0</v>
      </c>
      <c r="L69" s="12" t="s">
        <v>112</v>
      </c>
      <c r="M69" s="17">
        <f t="shared" si="2"/>
        <v>27200</v>
      </c>
    </row>
    <row r="70">
      <c r="A70" s="12">
        <v>69.0</v>
      </c>
      <c r="B70" s="9">
        <v>45853.0</v>
      </c>
      <c r="C70" s="10" t="s">
        <v>399</v>
      </c>
      <c r="D70" s="12" t="s">
        <v>56</v>
      </c>
      <c r="E70" s="10" t="s">
        <v>400</v>
      </c>
      <c r="F70" s="10" t="s">
        <v>401</v>
      </c>
      <c r="G70" s="10" t="s">
        <v>67</v>
      </c>
      <c r="H70" s="11">
        <v>20000.0</v>
      </c>
      <c r="I70" s="11">
        <v>20000.0</v>
      </c>
      <c r="J70" s="17">
        <f t="shared" si="1"/>
        <v>0</v>
      </c>
      <c r="K70" s="11">
        <v>0.0</v>
      </c>
      <c r="L70" s="12" t="s">
        <v>86</v>
      </c>
      <c r="M70" s="17">
        <f t="shared" si="2"/>
        <v>20000</v>
      </c>
    </row>
    <row r="71">
      <c r="A71" s="12">
        <v>70.0</v>
      </c>
      <c r="B71" s="9">
        <v>45859.0</v>
      </c>
      <c r="C71" s="10" t="s">
        <v>402</v>
      </c>
      <c r="D71" s="12" t="s">
        <v>109</v>
      </c>
      <c r="E71" s="10" t="s">
        <v>178</v>
      </c>
      <c r="F71" s="10" t="s">
        <v>403</v>
      </c>
      <c r="G71" s="10" t="s">
        <v>404</v>
      </c>
      <c r="H71" s="11">
        <v>24300.0</v>
      </c>
      <c r="I71" s="11">
        <v>24300.0</v>
      </c>
      <c r="J71" s="17">
        <f t="shared" si="1"/>
        <v>0</v>
      </c>
      <c r="K71" s="11">
        <v>17000.0</v>
      </c>
      <c r="L71" s="12" t="s">
        <v>112</v>
      </c>
      <c r="M71" s="17">
        <f t="shared" si="2"/>
        <v>7300</v>
      </c>
    </row>
    <row r="72">
      <c r="A72" s="12">
        <v>71.0</v>
      </c>
      <c r="B72" s="9">
        <v>45862.0</v>
      </c>
      <c r="C72" s="10" t="s">
        <v>407</v>
      </c>
      <c r="D72" s="12" t="s">
        <v>56</v>
      </c>
      <c r="E72" s="10" t="s">
        <v>408</v>
      </c>
      <c r="F72" s="10" t="s">
        <v>379</v>
      </c>
      <c r="G72" s="10" t="s">
        <v>409</v>
      </c>
      <c r="H72" s="11">
        <v>300000.0</v>
      </c>
      <c r="I72" s="11">
        <v>300000.0</v>
      </c>
      <c r="J72" s="17">
        <f t="shared" si="1"/>
        <v>0</v>
      </c>
      <c r="K72" s="11">
        <v>50000.0</v>
      </c>
      <c r="L72" s="12" t="s">
        <v>112</v>
      </c>
      <c r="M72" s="17">
        <f t="shared" si="2"/>
        <v>250000</v>
      </c>
    </row>
    <row r="73">
      <c r="A73" s="12">
        <v>72.0</v>
      </c>
      <c r="B73" s="9">
        <v>45862.0</v>
      </c>
      <c r="C73" s="10" t="s">
        <v>411</v>
      </c>
      <c r="D73" s="12" t="s">
        <v>56</v>
      </c>
      <c r="E73" s="10" t="s">
        <v>169</v>
      </c>
      <c r="F73" s="10" t="s">
        <v>379</v>
      </c>
      <c r="G73" s="10" t="s">
        <v>67</v>
      </c>
      <c r="H73" s="11">
        <v>60000.0</v>
      </c>
      <c r="I73" s="11">
        <v>60000.0</v>
      </c>
      <c r="J73" s="17">
        <f t="shared" si="1"/>
        <v>0</v>
      </c>
      <c r="K73" s="11">
        <v>21000.0</v>
      </c>
      <c r="L73" s="12" t="s">
        <v>112</v>
      </c>
      <c r="M73" s="17">
        <f t="shared" si="2"/>
        <v>39000</v>
      </c>
    </row>
    <row r="74">
      <c r="A74" s="12">
        <v>73.0</v>
      </c>
      <c r="B74" s="9">
        <v>45877.0</v>
      </c>
      <c r="C74" s="10" t="s">
        <v>415</v>
      </c>
      <c r="D74" s="12" t="s">
        <v>56</v>
      </c>
      <c r="E74" s="10" t="s">
        <v>416</v>
      </c>
      <c r="F74" s="10" t="s">
        <v>379</v>
      </c>
      <c r="G74" s="10" t="s">
        <v>67</v>
      </c>
      <c r="H74" s="11">
        <v>70000.0</v>
      </c>
      <c r="I74" s="11">
        <v>70000.0</v>
      </c>
      <c r="J74" s="17">
        <f t="shared" si="1"/>
        <v>0</v>
      </c>
      <c r="K74" s="11">
        <v>20000.0</v>
      </c>
      <c r="L74" s="12" t="s">
        <v>112</v>
      </c>
      <c r="M74" s="17">
        <f t="shared" si="2"/>
        <v>50000</v>
      </c>
    </row>
    <row r="75">
      <c r="A75" s="12">
        <v>74.0</v>
      </c>
      <c r="B75" s="9">
        <v>45877.0</v>
      </c>
      <c r="C75" s="10" t="s">
        <v>418</v>
      </c>
      <c r="D75" s="12" t="s">
        <v>109</v>
      </c>
      <c r="E75" s="10" t="s">
        <v>419</v>
      </c>
      <c r="F75" s="10" t="s">
        <v>379</v>
      </c>
      <c r="G75" s="10" t="s">
        <v>67</v>
      </c>
      <c r="H75" s="11">
        <v>23000.0</v>
      </c>
      <c r="I75" s="11">
        <v>23000.0</v>
      </c>
      <c r="J75" s="17">
        <f t="shared" si="1"/>
        <v>0</v>
      </c>
      <c r="K75" s="11">
        <v>15676.0</v>
      </c>
      <c r="L75" s="12" t="s">
        <v>112</v>
      </c>
      <c r="M75" s="17">
        <f t="shared" si="2"/>
        <v>7324</v>
      </c>
    </row>
    <row r="76">
      <c r="A76" s="12">
        <v>75.0</v>
      </c>
      <c r="B76" s="9">
        <v>45880.0</v>
      </c>
      <c r="C76" s="10" t="s">
        <v>420</v>
      </c>
      <c r="D76" s="12" t="s">
        <v>66</v>
      </c>
      <c r="E76" s="10" t="s">
        <v>169</v>
      </c>
      <c r="F76" s="10" t="s">
        <v>401</v>
      </c>
      <c r="G76" s="10" t="s">
        <v>67</v>
      </c>
      <c r="H76" s="11">
        <v>10000.0</v>
      </c>
      <c r="I76" s="11">
        <v>10000.0</v>
      </c>
      <c r="J76" s="17">
        <f t="shared" si="1"/>
        <v>0</v>
      </c>
      <c r="K76" s="11">
        <v>2300.0</v>
      </c>
      <c r="L76" s="12" t="s">
        <v>112</v>
      </c>
      <c r="M76" s="17">
        <f t="shared" si="2"/>
        <v>7700</v>
      </c>
    </row>
    <row r="77">
      <c r="A77" s="12">
        <v>76.0</v>
      </c>
      <c r="B77" s="9">
        <v>45881.0</v>
      </c>
      <c r="C77" s="10" t="s">
        <v>421</v>
      </c>
      <c r="D77" s="12" t="s">
        <v>56</v>
      </c>
      <c r="E77" s="10" t="s">
        <v>258</v>
      </c>
      <c r="F77" s="10" t="s">
        <v>379</v>
      </c>
      <c r="G77" s="10" t="s">
        <v>67</v>
      </c>
      <c r="H77" s="11">
        <v>35000.0</v>
      </c>
      <c r="I77" s="11">
        <v>35000.0</v>
      </c>
      <c r="J77" s="17">
        <f t="shared" si="1"/>
        <v>0</v>
      </c>
      <c r="K77" s="11">
        <v>14000.0</v>
      </c>
      <c r="L77" s="12" t="s">
        <v>112</v>
      </c>
      <c r="M77" s="17">
        <f t="shared" si="2"/>
        <v>21000</v>
      </c>
    </row>
    <row r="78">
      <c r="A78" s="12">
        <v>77.0</v>
      </c>
      <c r="B78" s="9">
        <v>45884.0</v>
      </c>
      <c r="C78" s="10" t="s">
        <v>426</v>
      </c>
      <c r="D78" s="12" t="s">
        <v>56</v>
      </c>
      <c r="E78" s="10" t="s">
        <v>215</v>
      </c>
      <c r="F78" s="10" t="s">
        <v>125</v>
      </c>
      <c r="G78" s="10" t="s">
        <v>427</v>
      </c>
      <c r="H78" s="11">
        <v>40000.0</v>
      </c>
      <c r="I78" s="11">
        <v>40000.0</v>
      </c>
      <c r="J78" s="17">
        <f t="shared" si="1"/>
        <v>0</v>
      </c>
      <c r="K78" s="11">
        <v>29000.0</v>
      </c>
      <c r="L78" s="12" t="s">
        <v>112</v>
      </c>
      <c r="M78" s="17">
        <f t="shared" si="2"/>
        <v>11000</v>
      </c>
    </row>
    <row r="79">
      <c r="A79" s="12">
        <v>78.0</v>
      </c>
      <c r="B79" s="9">
        <v>45888.0</v>
      </c>
      <c r="C79" s="10" t="s">
        <v>426</v>
      </c>
      <c r="D79" s="12" t="s">
        <v>56</v>
      </c>
      <c r="E79" s="10" t="s">
        <v>429</v>
      </c>
      <c r="F79" s="10" t="s">
        <v>262</v>
      </c>
      <c r="G79" s="10" t="s">
        <v>251</v>
      </c>
      <c r="H79" s="11">
        <v>595000.0</v>
      </c>
      <c r="I79" s="11">
        <v>595000.0</v>
      </c>
      <c r="J79" s="17">
        <f t="shared" si="1"/>
        <v>0</v>
      </c>
      <c r="K79" s="11">
        <v>580000.0</v>
      </c>
      <c r="L79" s="12" t="s">
        <v>112</v>
      </c>
      <c r="M79" s="17">
        <f t="shared" si="2"/>
        <v>15000</v>
      </c>
    </row>
    <row r="80">
      <c r="A80" s="12">
        <v>79.0</v>
      </c>
      <c r="B80" s="9">
        <v>45904.0</v>
      </c>
      <c r="C80" s="10" t="s">
        <v>277</v>
      </c>
      <c r="D80" s="12" t="s">
        <v>56</v>
      </c>
      <c r="E80" s="10" t="s">
        <v>280</v>
      </c>
      <c r="F80" s="10" t="s">
        <v>379</v>
      </c>
      <c r="G80" s="10" t="s">
        <v>435</v>
      </c>
      <c r="H80" s="11">
        <v>15000.0</v>
      </c>
      <c r="I80" s="11">
        <v>15000.0</v>
      </c>
      <c r="J80" s="17">
        <f t="shared" si="1"/>
        <v>0</v>
      </c>
      <c r="K80" s="11">
        <v>10000.0</v>
      </c>
      <c r="L80" s="12" t="s">
        <v>112</v>
      </c>
      <c r="M80" s="17">
        <f t="shared" si="2"/>
        <v>5000</v>
      </c>
    </row>
    <row r="81">
      <c r="A81" s="12">
        <v>80.0</v>
      </c>
      <c r="B81" s="9">
        <v>45907.0</v>
      </c>
      <c r="C81" s="10" t="s">
        <v>442</v>
      </c>
      <c r="D81" s="12" t="s">
        <v>56</v>
      </c>
      <c r="E81" s="10" t="s">
        <v>280</v>
      </c>
      <c r="F81" s="10" t="s">
        <v>443</v>
      </c>
      <c r="G81" s="10" t="s">
        <v>67</v>
      </c>
      <c r="H81" s="11">
        <v>70000.0</v>
      </c>
      <c r="I81" s="11">
        <v>70000.0</v>
      </c>
      <c r="J81" s="17">
        <f t="shared" si="1"/>
        <v>0</v>
      </c>
      <c r="K81" s="11">
        <v>15000.0</v>
      </c>
      <c r="L81" s="12" t="s">
        <v>112</v>
      </c>
      <c r="M81" s="17">
        <f t="shared" si="2"/>
        <v>55000</v>
      </c>
    </row>
    <row r="82">
      <c r="A82" s="12">
        <v>81.0</v>
      </c>
      <c r="B82" s="9">
        <v>45909.0</v>
      </c>
      <c r="C82" s="10" t="s">
        <v>446</v>
      </c>
      <c r="D82" s="12" t="s">
        <v>56</v>
      </c>
      <c r="E82" s="10" t="s">
        <v>169</v>
      </c>
      <c r="F82" s="10" t="s">
        <v>379</v>
      </c>
      <c r="G82" s="10" t="s">
        <v>67</v>
      </c>
      <c r="H82" s="11">
        <v>30000.0</v>
      </c>
      <c r="I82" s="11">
        <v>30000.0</v>
      </c>
      <c r="J82" s="17">
        <f t="shared" si="1"/>
        <v>0</v>
      </c>
      <c r="K82" s="11">
        <v>6000.0</v>
      </c>
      <c r="L82" s="12" t="s">
        <v>112</v>
      </c>
      <c r="M82" s="17">
        <f t="shared" si="2"/>
        <v>24000</v>
      </c>
    </row>
    <row r="83">
      <c r="A83" s="12">
        <v>82.0</v>
      </c>
      <c r="B83" s="9">
        <v>45911.0</v>
      </c>
      <c r="C83" s="10" t="s">
        <v>448</v>
      </c>
      <c r="D83" s="12" t="s">
        <v>109</v>
      </c>
      <c r="E83" s="10" t="s">
        <v>193</v>
      </c>
      <c r="F83" s="10" t="s">
        <v>379</v>
      </c>
      <c r="G83" s="10" t="s">
        <v>449</v>
      </c>
      <c r="H83" s="11">
        <v>200000.0</v>
      </c>
      <c r="I83" s="11">
        <v>200000.0</v>
      </c>
      <c r="J83" s="17">
        <f t="shared" si="1"/>
        <v>0</v>
      </c>
      <c r="K83" s="11">
        <v>85000.0</v>
      </c>
      <c r="L83" s="12" t="s">
        <v>112</v>
      </c>
      <c r="M83" s="17">
        <f t="shared" si="2"/>
        <v>115000</v>
      </c>
    </row>
    <row r="84">
      <c r="A84" s="12">
        <v>83.0</v>
      </c>
      <c r="B84" s="9">
        <v>45922.0</v>
      </c>
      <c r="C84" s="10" t="s">
        <v>450</v>
      </c>
      <c r="D84" s="12" t="s">
        <v>109</v>
      </c>
      <c r="E84" s="10" t="s">
        <v>451</v>
      </c>
      <c r="F84" s="10" t="s">
        <v>379</v>
      </c>
      <c r="G84" s="10" t="s">
        <v>452</v>
      </c>
      <c r="H84" s="11">
        <v>750000.0</v>
      </c>
      <c r="I84" s="11">
        <v>750000.0</v>
      </c>
      <c r="J84" s="17">
        <f t="shared" si="1"/>
        <v>0</v>
      </c>
      <c r="K84" s="11">
        <v>450000.0</v>
      </c>
      <c r="L84" s="12" t="s">
        <v>112</v>
      </c>
      <c r="M84" s="17">
        <f t="shared" si="2"/>
        <v>300000</v>
      </c>
    </row>
    <row r="85">
      <c r="A85" s="12">
        <v>84.0</v>
      </c>
      <c r="B85" s="9">
        <v>45926.0</v>
      </c>
      <c r="C85" s="10" t="s">
        <v>442</v>
      </c>
      <c r="D85" s="12" t="s">
        <v>56</v>
      </c>
      <c r="E85" s="10" t="s">
        <v>280</v>
      </c>
      <c r="F85" s="10" t="s">
        <v>262</v>
      </c>
      <c r="G85" s="10" t="s">
        <v>251</v>
      </c>
      <c r="H85" s="11">
        <v>264000.0</v>
      </c>
      <c r="I85" s="11">
        <v>264000.0</v>
      </c>
      <c r="J85" s="17">
        <f t="shared" si="1"/>
        <v>0</v>
      </c>
      <c r="K85" s="11">
        <v>247000.0</v>
      </c>
      <c r="L85" s="12" t="s">
        <v>112</v>
      </c>
      <c r="M85" s="17">
        <f t="shared" si="2"/>
        <v>17000</v>
      </c>
    </row>
    <row r="86">
      <c r="A86" s="12">
        <v>85.0</v>
      </c>
      <c r="B86" s="9">
        <v>45935.0</v>
      </c>
      <c r="C86" s="10" t="s">
        <v>455</v>
      </c>
      <c r="D86" s="12" t="s">
        <v>109</v>
      </c>
      <c r="E86" s="10" t="s">
        <v>280</v>
      </c>
      <c r="F86" s="10" t="s">
        <v>294</v>
      </c>
      <c r="G86" s="10" t="s">
        <v>67</v>
      </c>
      <c r="H86" s="11">
        <v>35000.0</v>
      </c>
      <c r="I86" s="11">
        <v>35000.0</v>
      </c>
      <c r="J86" s="17">
        <f t="shared" si="1"/>
        <v>0</v>
      </c>
      <c r="K86" s="11">
        <v>5000.0</v>
      </c>
      <c r="L86" s="12" t="s">
        <v>112</v>
      </c>
      <c r="M86" s="17">
        <f t="shared" si="2"/>
        <v>30000</v>
      </c>
    </row>
    <row r="87">
      <c r="A87" s="12">
        <v>86.0</v>
      </c>
      <c r="B87" s="9">
        <v>45940.0</v>
      </c>
      <c r="C87" s="10" t="s">
        <v>459</v>
      </c>
      <c r="D87" s="12" t="s">
        <v>56</v>
      </c>
      <c r="E87" s="10" t="s">
        <v>280</v>
      </c>
      <c r="F87" s="10" t="s">
        <v>294</v>
      </c>
      <c r="G87" s="10" t="s">
        <v>67</v>
      </c>
      <c r="H87" s="11">
        <v>40000.0</v>
      </c>
      <c r="I87" s="11">
        <v>40000.0</v>
      </c>
      <c r="J87" s="17">
        <f t="shared" si="1"/>
        <v>0</v>
      </c>
      <c r="K87" s="11">
        <v>5000.0</v>
      </c>
      <c r="L87" s="12" t="s">
        <v>112</v>
      </c>
      <c r="M87" s="17">
        <f t="shared" si="2"/>
        <v>35000</v>
      </c>
    </row>
    <row r="88">
      <c r="A88" s="12">
        <v>87.0</v>
      </c>
      <c r="B88" s="9">
        <v>45944.0</v>
      </c>
      <c r="C88" s="10" t="s">
        <v>461</v>
      </c>
      <c r="D88" s="12" t="s">
        <v>56</v>
      </c>
      <c r="E88" s="10" t="s">
        <v>193</v>
      </c>
      <c r="F88" s="10" t="s">
        <v>294</v>
      </c>
      <c r="G88" s="10" t="s">
        <v>449</v>
      </c>
      <c r="H88" s="11">
        <v>110000.0</v>
      </c>
      <c r="I88" s="11">
        <v>110000.0</v>
      </c>
      <c r="J88" s="17">
        <f t="shared" si="1"/>
        <v>0</v>
      </c>
      <c r="K88" s="11">
        <v>80000.0</v>
      </c>
      <c r="L88" s="12" t="s">
        <v>112</v>
      </c>
      <c r="M88" s="17">
        <f t="shared" si="2"/>
        <v>30000</v>
      </c>
    </row>
    <row r="89">
      <c r="A89" s="12">
        <v>88.0</v>
      </c>
      <c r="B89" s="9">
        <v>45944.0</v>
      </c>
      <c r="C89" s="10" t="s">
        <v>465</v>
      </c>
      <c r="D89" s="12" t="s">
        <v>56</v>
      </c>
      <c r="E89" s="10" t="s">
        <v>193</v>
      </c>
      <c r="F89" s="10" t="s">
        <v>294</v>
      </c>
      <c r="G89" s="10" t="s">
        <v>449</v>
      </c>
      <c r="H89" s="11">
        <v>110000.0</v>
      </c>
      <c r="I89" s="11">
        <v>110000.0</v>
      </c>
      <c r="J89" s="17">
        <f t="shared" si="1"/>
        <v>0</v>
      </c>
      <c r="K89" s="11">
        <v>80000.0</v>
      </c>
      <c r="L89" s="12" t="s">
        <v>112</v>
      </c>
      <c r="M89" s="17">
        <f t="shared" si="2"/>
        <v>30000</v>
      </c>
    </row>
    <row r="90">
      <c r="A90" s="12">
        <v>89.0</v>
      </c>
      <c r="B90" s="9">
        <v>45946.0</v>
      </c>
      <c r="C90" s="10" t="s">
        <v>466</v>
      </c>
      <c r="D90" s="12" t="s">
        <v>56</v>
      </c>
      <c r="E90" s="10" t="s">
        <v>467</v>
      </c>
      <c r="F90" s="10" t="s">
        <v>468</v>
      </c>
      <c r="G90" s="10" t="s">
        <v>67</v>
      </c>
      <c r="H90" s="11">
        <v>2000.0</v>
      </c>
      <c r="I90" s="11">
        <v>2000.0</v>
      </c>
      <c r="J90" s="17">
        <f t="shared" si="1"/>
        <v>0</v>
      </c>
      <c r="K90" s="11">
        <v>0.0</v>
      </c>
      <c r="L90" s="12" t="s">
        <v>86</v>
      </c>
      <c r="M90" s="17">
        <f t="shared" si="2"/>
        <v>2000</v>
      </c>
    </row>
    <row r="91">
      <c r="A91" s="12">
        <v>90.0</v>
      </c>
      <c r="B91" s="9">
        <v>45958.0</v>
      </c>
      <c r="C91" s="10" t="s">
        <v>227</v>
      </c>
      <c r="D91" s="12" t="s">
        <v>56</v>
      </c>
      <c r="E91" s="10" t="s">
        <v>57</v>
      </c>
      <c r="F91" s="10" t="s">
        <v>473</v>
      </c>
      <c r="G91" s="10" t="s">
        <v>67</v>
      </c>
      <c r="H91" s="11">
        <v>30000.0</v>
      </c>
      <c r="I91" s="11">
        <v>30000.0</v>
      </c>
      <c r="J91" s="17">
        <f t="shared" si="1"/>
        <v>0</v>
      </c>
      <c r="K91" s="11">
        <v>4000.0</v>
      </c>
      <c r="L91" s="12" t="s">
        <v>112</v>
      </c>
      <c r="M91" s="17">
        <f t="shared" si="2"/>
        <v>26000</v>
      </c>
    </row>
    <row r="92">
      <c r="A92" s="12">
        <v>91.0</v>
      </c>
      <c r="B92" s="9">
        <v>45958.0</v>
      </c>
      <c r="C92" s="10" t="s">
        <v>478</v>
      </c>
      <c r="D92" s="12" t="s">
        <v>56</v>
      </c>
      <c r="E92" s="10" t="s">
        <v>57</v>
      </c>
      <c r="F92" s="10" t="s">
        <v>473</v>
      </c>
      <c r="G92" s="10" t="s">
        <v>67</v>
      </c>
      <c r="H92" s="11">
        <v>30000.0</v>
      </c>
      <c r="I92" s="11">
        <v>30000.0</v>
      </c>
      <c r="J92" s="17">
        <f t="shared" si="1"/>
        <v>0</v>
      </c>
      <c r="K92" s="11">
        <v>4000.0</v>
      </c>
      <c r="L92" s="12" t="s">
        <v>112</v>
      </c>
      <c r="M92" s="17">
        <f t="shared" si="2"/>
        <v>26000</v>
      </c>
    </row>
    <row r="93">
      <c r="A93" s="12">
        <v>92.0</v>
      </c>
      <c r="B93" s="9">
        <v>45957.0</v>
      </c>
      <c r="C93" s="10" t="s">
        <v>480</v>
      </c>
      <c r="D93" s="12" t="s">
        <v>56</v>
      </c>
      <c r="E93" s="10" t="s">
        <v>482</v>
      </c>
      <c r="F93" s="10" t="s">
        <v>294</v>
      </c>
      <c r="G93" s="10" t="s">
        <v>484</v>
      </c>
      <c r="H93" s="11">
        <v>30000.0</v>
      </c>
      <c r="I93" s="11">
        <v>30000.0</v>
      </c>
      <c r="J93" s="17">
        <f t="shared" si="1"/>
        <v>0</v>
      </c>
      <c r="K93" s="11">
        <v>5000.0</v>
      </c>
      <c r="L93" s="12" t="s">
        <v>112</v>
      </c>
      <c r="M93" s="17">
        <f t="shared" si="2"/>
        <v>25000</v>
      </c>
    </row>
    <row r="94">
      <c r="A94" s="12">
        <v>93.0</v>
      </c>
      <c r="B94" s="9">
        <v>45959.0</v>
      </c>
      <c r="C94" s="10" t="s">
        <v>486</v>
      </c>
      <c r="D94" s="12" t="s">
        <v>109</v>
      </c>
      <c r="E94" s="10" t="s">
        <v>193</v>
      </c>
      <c r="F94" s="10" t="s">
        <v>294</v>
      </c>
      <c r="G94" s="10" t="s">
        <v>449</v>
      </c>
      <c r="H94" s="11">
        <v>140000.0</v>
      </c>
      <c r="I94" s="11">
        <v>140000.0</v>
      </c>
      <c r="J94" s="17">
        <f t="shared" si="1"/>
        <v>0</v>
      </c>
      <c r="K94" s="11">
        <v>80000.0</v>
      </c>
      <c r="L94" s="12" t="s">
        <v>112</v>
      </c>
      <c r="M94" s="17">
        <f t="shared" si="2"/>
        <v>60000</v>
      </c>
    </row>
    <row r="95">
      <c r="A95" s="12">
        <v>94.0</v>
      </c>
      <c r="B95" s="9">
        <v>45961.0</v>
      </c>
      <c r="C95" s="10" t="s">
        <v>442</v>
      </c>
      <c r="D95" s="12" t="s">
        <v>56</v>
      </c>
      <c r="E95" s="10" t="s">
        <v>280</v>
      </c>
      <c r="F95" s="10" t="s">
        <v>490</v>
      </c>
      <c r="G95" s="10" t="s">
        <v>251</v>
      </c>
      <c r="H95" s="11">
        <v>153223.0</v>
      </c>
      <c r="I95" s="11">
        <v>153223.0</v>
      </c>
      <c r="J95" s="17">
        <f t="shared" si="1"/>
        <v>0</v>
      </c>
      <c r="K95" s="11">
        <v>145223.0</v>
      </c>
      <c r="L95" s="12" t="s">
        <v>112</v>
      </c>
      <c r="M95" s="17">
        <f t="shared" si="2"/>
        <v>8000</v>
      </c>
    </row>
    <row r="96">
      <c r="A96" s="12">
        <v>95.0</v>
      </c>
      <c r="B96" s="9">
        <v>45961.0</v>
      </c>
      <c r="C96" s="10" t="s">
        <v>442</v>
      </c>
      <c r="D96" s="12" t="s">
        <v>56</v>
      </c>
      <c r="E96" s="10" t="s">
        <v>280</v>
      </c>
      <c r="F96" s="10" t="s">
        <v>493</v>
      </c>
      <c r="G96" s="10" t="s">
        <v>67</v>
      </c>
      <c r="H96" s="11">
        <v>21000.0</v>
      </c>
      <c r="I96" s="11">
        <v>21000.0</v>
      </c>
      <c r="J96" s="17">
        <f t="shared" si="1"/>
        <v>0</v>
      </c>
      <c r="K96" s="11">
        <v>0.0</v>
      </c>
      <c r="L96" s="12" t="s">
        <v>86</v>
      </c>
      <c r="M96" s="17">
        <f t="shared" si="2"/>
        <v>21000</v>
      </c>
    </row>
    <row r="97">
      <c r="A97" s="12">
        <v>96.0</v>
      </c>
      <c r="B97" s="9">
        <v>45968.0</v>
      </c>
      <c r="C97" s="10" t="s">
        <v>499</v>
      </c>
      <c r="D97" s="12" t="s">
        <v>56</v>
      </c>
      <c r="E97" s="10" t="s">
        <v>280</v>
      </c>
      <c r="F97" s="10" t="s">
        <v>294</v>
      </c>
      <c r="G97" s="10" t="s">
        <v>67</v>
      </c>
      <c r="H97" s="11">
        <v>35000.0</v>
      </c>
      <c r="I97" s="11">
        <v>35000.0</v>
      </c>
      <c r="J97" s="17">
        <f t="shared" si="1"/>
        <v>0</v>
      </c>
      <c r="K97" s="11">
        <v>7500.0</v>
      </c>
      <c r="L97" s="12" t="s">
        <v>112</v>
      </c>
      <c r="M97" s="17">
        <f t="shared" si="2"/>
        <v>27500</v>
      </c>
    </row>
    <row r="98">
      <c r="A98" s="12">
        <v>97.0</v>
      </c>
      <c r="B98" s="9">
        <v>45974.0</v>
      </c>
      <c r="C98" s="10" t="s">
        <v>277</v>
      </c>
      <c r="D98" s="12" t="s">
        <v>56</v>
      </c>
      <c r="E98" s="10" t="s">
        <v>512</v>
      </c>
      <c r="F98" s="10" t="s">
        <v>515</v>
      </c>
      <c r="G98" s="10" t="s">
        <v>517</v>
      </c>
      <c r="H98" s="11">
        <v>165000.0</v>
      </c>
      <c r="I98" s="11">
        <v>165000.0</v>
      </c>
      <c r="J98" s="17">
        <f t="shared" si="1"/>
        <v>0</v>
      </c>
      <c r="K98" s="11">
        <v>0.0</v>
      </c>
      <c r="L98" s="12" t="s">
        <v>86</v>
      </c>
      <c r="M98" s="17">
        <f t="shared" si="2"/>
        <v>165000</v>
      </c>
    </row>
    <row r="99">
      <c r="A99" s="12">
        <v>98.0</v>
      </c>
      <c r="B99" s="9">
        <v>45975.0</v>
      </c>
      <c r="C99" s="10" t="s">
        <v>519</v>
      </c>
      <c r="D99" s="12" t="s">
        <v>56</v>
      </c>
      <c r="E99" s="10" t="s">
        <v>280</v>
      </c>
      <c r="F99" s="10" t="s">
        <v>294</v>
      </c>
      <c r="G99" s="10" t="s">
        <v>67</v>
      </c>
      <c r="H99" s="11">
        <v>22000.0</v>
      </c>
      <c r="I99" s="11">
        <v>22000.0</v>
      </c>
      <c r="J99" s="17">
        <f t="shared" si="1"/>
        <v>0</v>
      </c>
      <c r="K99" s="11">
        <v>4000.0</v>
      </c>
      <c r="L99" s="12" t="s">
        <v>112</v>
      </c>
      <c r="M99" s="17">
        <f t="shared" si="2"/>
        <v>18000</v>
      </c>
    </row>
    <row r="100">
      <c r="A100" s="12">
        <v>99.0</v>
      </c>
      <c r="B100" s="9">
        <v>45989.0</v>
      </c>
      <c r="C100" s="10" t="s">
        <v>523</v>
      </c>
      <c r="D100" s="12" t="s">
        <v>109</v>
      </c>
      <c r="E100" s="10" t="s">
        <v>124</v>
      </c>
      <c r="F100" s="10" t="s">
        <v>525</v>
      </c>
      <c r="G100" s="10" t="s">
        <v>526</v>
      </c>
      <c r="H100" s="11">
        <v>18000.0</v>
      </c>
      <c r="I100" s="11">
        <v>18000.0</v>
      </c>
      <c r="J100" s="17">
        <f t="shared" si="1"/>
        <v>0</v>
      </c>
      <c r="K100" s="11">
        <v>14000.0</v>
      </c>
      <c r="L100" s="12" t="s">
        <v>112</v>
      </c>
      <c r="M100" s="17">
        <f t="shared" si="2"/>
        <v>4000</v>
      </c>
    </row>
    <row r="101">
      <c r="A101" s="10">
        <v>100.0</v>
      </c>
      <c r="B101" s="9">
        <v>45989.0</v>
      </c>
      <c r="C101" s="10" t="s">
        <v>527</v>
      </c>
      <c r="D101" s="10" t="s">
        <v>109</v>
      </c>
      <c r="E101" s="10" t="s">
        <v>124</v>
      </c>
      <c r="F101" s="10" t="s">
        <v>525</v>
      </c>
      <c r="G101" s="10" t="s">
        <v>526</v>
      </c>
      <c r="H101" s="11">
        <v>18000.0</v>
      </c>
      <c r="I101" s="11">
        <v>18000.0</v>
      </c>
      <c r="J101" s="17">
        <f t="shared" si="1"/>
        <v>0</v>
      </c>
      <c r="K101" s="11">
        <v>14000.0</v>
      </c>
      <c r="L101" s="10" t="s">
        <v>112</v>
      </c>
      <c r="M101" s="17">
        <f t="shared" si="2"/>
        <v>4000</v>
      </c>
    </row>
    <row r="102">
      <c r="A102" s="10">
        <v>101.0</v>
      </c>
      <c r="B102" s="9">
        <v>45993.0</v>
      </c>
      <c r="C102" s="10" t="s">
        <v>528</v>
      </c>
      <c r="D102" s="10" t="s">
        <v>56</v>
      </c>
      <c r="E102" s="10" t="s">
        <v>154</v>
      </c>
      <c r="F102" s="10" t="s">
        <v>262</v>
      </c>
      <c r="G102" s="10" t="s">
        <v>251</v>
      </c>
      <c r="H102" s="11">
        <v>92000.0</v>
      </c>
      <c r="I102" s="11">
        <v>92000.0</v>
      </c>
      <c r="J102" s="17">
        <f t="shared" si="1"/>
        <v>0</v>
      </c>
      <c r="K102" s="11">
        <v>84300.0</v>
      </c>
      <c r="L102" s="10" t="s">
        <v>112</v>
      </c>
      <c r="M102" s="17">
        <f t="shared" si="2"/>
        <v>7700</v>
      </c>
    </row>
    <row r="103">
      <c r="A103" s="10">
        <v>102.0</v>
      </c>
      <c r="B103" s="9">
        <v>45995.0</v>
      </c>
      <c r="C103" s="10" t="s">
        <v>529</v>
      </c>
      <c r="D103" s="10" t="s">
        <v>56</v>
      </c>
      <c r="E103" s="10" t="s">
        <v>482</v>
      </c>
      <c r="F103" s="10" t="s">
        <v>379</v>
      </c>
      <c r="G103" s="10" t="s">
        <v>484</v>
      </c>
      <c r="H103" s="11">
        <v>25000.0</v>
      </c>
      <c r="I103" s="11">
        <v>25000.0</v>
      </c>
      <c r="J103" s="17">
        <f t="shared" si="1"/>
        <v>0</v>
      </c>
      <c r="K103" s="11">
        <v>5000.0</v>
      </c>
      <c r="L103" s="10" t="s">
        <v>112</v>
      </c>
      <c r="M103" s="17">
        <f t="shared" si="2"/>
        <v>20000</v>
      </c>
    </row>
    <row r="104">
      <c r="A104" s="10">
        <v>103.0</v>
      </c>
      <c r="B104" s="9">
        <v>46000.0</v>
      </c>
      <c r="C104" s="10" t="s">
        <v>530</v>
      </c>
      <c r="D104" s="10" t="s">
        <v>56</v>
      </c>
      <c r="E104" s="10" t="s">
        <v>451</v>
      </c>
      <c r="F104" s="10" t="s">
        <v>379</v>
      </c>
      <c r="G104" s="10" t="s">
        <v>67</v>
      </c>
      <c r="H104" s="11">
        <v>275000.0</v>
      </c>
      <c r="I104" s="11">
        <v>275000.0</v>
      </c>
      <c r="J104" s="17">
        <f t="shared" si="1"/>
        <v>0</v>
      </c>
      <c r="K104" s="11">
        <v>150000.0</v>
      </c>
      <c r="L104" s="10" t="s">
        <v>112</v>
      </c>
      <c r="M104" s="17">
        <f t="shared" si="2"/>
        <v>125000</v>
      </c>
    </row>
    <row r="105">
      <c r="A105" s="10">
        <v>104.0</v>
      </c>
      <c r="B105" s="9">
        <v>46000.0</v>
      </c>
      <c r="C105" s="10" t="s">
        <v>531</v>
      </c>
      <c r="D105" s="10" t="s">
        <v>56</v>
      </c>
      <c r="E105" s="10" t="s">
        <v>193</v>
      </c>
      <c r="F105" s="10" t="s">
        <v>379</v>
      </c>
      <c r="G105" s="10" t="s">
        <v>449</v>
      </c>
      <c r="H105" s="11">
        <v>100000.0</v>
      </c>
      <c r="I105" s="11">
        <v>100000.0</v>
      </c>
      <c r="J105" s="17">
        <f t="shared" si="1"/>
        <v>0</v>
      </c>
      <c r="K105" s="11">
        <v>80000.0</v>
      </c>
      <c r="L105" s="10" t="s">
        <v>112</v>
      </c>
      <c r="M105" s="17">
        <f t="shared" si="2"/>
        <v>20000</v>
      </c>
    </row>
    <row r="106">
      <c r="A106" s="10">
        <v>105.0</v>
      </c>
      <c r="B106" s="9">
        <v>46000.0</v>
      </c>
      <c r="C106" s="10" t="s">
        <v>532</v>
      </c>
      <c r="D106" s="10" t="s">
        <v>56</v>
      </c>
      <c r="E106" s="10" t="s">
        <v>533</v>
      </c>
      <c r="F106" s="10" t="s">
        <v>379</v>
      </c>
      <c r="G106" s="10" t="s">
        <v>534</v>
      </c>
      <c r="H106" s="11">
        <v>30000.0</v>
      </c>
      <c r="I106" s="11">
        <v>30000.0</v>
      </c>
      <c r="J106" s="17">
        <f t="shared" si="1"/>
        <v>0</v>
      </c>
      <c r="K106" s="11">
        <v>22000.0</v>
      </c>
      <c r="L106" s="10" t="s">
        <v>112</v>
      </c>
      <c r="M106" s="17">
        <f t="shared" si="2"/>
        <v>8000</v>
      </c>
    </row>
    <row r="107">
      <c r="A107" s="10">
        <v>106.0</v>
      </c>
      <c r="B107" s="9">
        <v>46003.0</v>
      </c>
      <c r="C107" s="10" t="s">
        <v>535</v>
      </c>
      <c r="D107" s="10" t="s">
        <v>109</v>
      </c>
      <c r="E107" s="10" t="s">
        <v>261</v>
      </c>
      <c r="F107" s="10" t="s">
        <v>536</v>
      </c>
      <c r="G107" s="10" t="s">
        <v>537</v>
      </c>
      <c r="H107" s="11">
        <v>66000.0</v>
      </c>
      <c r="I107" s="11">
        <v>66000.0</v>
      </c>
      <c r="J107" s="17">
        <f t="shared" si="1"/>
        <v>0</v>
      </c>
      <c r="K107" s="11">
        <v>63000.0</v>
      </c>
      <c r="L107" s="10" t="s">
        <v>112</v>
      </c>
      <c r="M107" s="17">
        <f t="shared" si="2"/>
        <v>3000</v>
      </c>
    </row>
    <row r="108">
      <c r="A108" s="10">
        <v>107.0</v>
      </c>
      <c r="B108" s="9">
        <v>46007.0</v>
      </c>
      <c r="C108" s="10" t="s">
        <v>538</v>
      </c>
      <c r="D108" s="10" t="s">
        <v>109</v>
      </c>
      <c r="E108" s="10" t="s">
        <v>397</v>
      </c>
      <c r="F108" s="10" t="s">
        <v>125</v>
      </c>
      <c r="G108" s="10" t="s">
        <v>539</v>
      </c>
      <c r="H108" s="11">
        <v>58000.0</v>
      </c>
      <c r="I108" s="11">
        <v>58000.0</v>
      </c>
      <c r="J108" s="17">
        <f t="shared" si="1"/>
        <v>0</v>
      </c>
      <c r="K108" s="11">
        <v>42000.0</v>
      </c>
      <c r="L108" s="10" t="s">
        <v>112</v>
      </c>
      <c r="M108" s="17">
        <f t="shared" si="2"/>
        <v>16000</v>
      </c>
    </row>
    <row r="109">
      <c r="A109" s="10">
        <v>108.0</v>
      </c>
      <c r="B109" s="9">
        <v>46008.0</v>
      </c>
      <c r="C109" s="10" t="s">
        <v>540</v>
      </c>
      <c r="D109" s="10" t="s">
        <v>56</v>
      </c>
      <c r="E109" s="10" t="s">
        <v>154</v>
      </c>
      <c r="F109" s="10" t="s">
        <v>125</v>
      </c>
      <c r="G109" s="10" t="s">
        <v>539</v>
      </c>
      <c r="H109" s="11">
        <v>15500.0</v>
      </c>
      <c r="I109" s="11">
        <v>15500.0</v>
      </c>
      <c r="J109" s="17">
        <f t="shared" si="1"/>
        <v>0</v>
      </c>
      <c r="K109" s="11">
        <v>15500.0</v>
      </c>
      <c r="L109" s="10" t="s">
        <v>112</v>
      </c>
      <c r="M109" s="17">
        <f t="shared" si="2"/>
        <v>0</v>
      </c>
    </row>
    <row r="110">
      <c r="A110" s="10">
        <v>109.0</v>
      </c>
      <c r="B110" s="9">
        <v>46009.0</v>
      </c>
      <c r="C110" s="10" t="s">
        <v>541</v>
      </c>
      <c r="D110" s="10" t="s">
        <v>56</v>
      </c>
      <c r="E110" s="10" t="s">
        <v>397</v>
      </c>
      <c r="F110" s="10" t="s">
        <v>125</v>
      </c>
      <c r="G110" s="10" t="s">
        <v>539</v>
      </c>
      <c r="H110" s="11">
        <v>53000.0</v>
      </c>
      <c r="I110" s="11">
        <v>53000.0</v>
      </c>
      <c r="J110" s="17">
        <f t="shared" si="1"/>
        <v>0</v>
      </c>
      <c r="K110" s="11">
        <v>42500.0</v>
      </c>
      <c r="L110" s="10" t="s">
        <v>112</v>
      </c>
      <c r="M110" s="17">
        <f t="shared" si="2"/>
        <v>10500</v>
      </c>
    </row>
    <row r="111">
      <c r="A111" s="10">
        <v>110.0</v>
      </c>
      <c r="B111" s="9">
        <v>46011.0</v>
      </c>
      <c r="C111" s="10" t="s">
        <v>542</v>
      </c>
      <c r="D111" s="10" t="s">
        <v>56</v>
      </c>
      <c r="E111" s="10" t="s">
        <v>278</v>
      </c>
      <c r="F111" s="10" t="s">
        <v>125</v>
      </c>
      <c r="G111" s="10" t="s">
        <v>543</v>
      </c>
      <c r="H111" s="11">
        <v>96000.0</v>
      </c>
      <c r="I111" s="11">
        <v>96000.0</v>
      </c>
      <c r="J111" s="17">
        <f t="shared" si="1"/>
        <v>0</v>
      </c>
      <c r="K111" s="11">
        <v>74000.0</v>
      </c>
      <c r="L111" s="10" t="s">
        <v>112</v>
      </c>
      <c r="M111" s="17">
        <f t="shared" si="2"/>
        <v>22000</v>
      </c>
    </row>
    <row r="112">
      <c r="A112" s="10">
        <v>111.0</v>
      </c>
      <c r="B112" s="9">
        <v>46013.0</v>
      </c>
      <c r="C112" s="10" t="s">
        <v>544</v>
      </c>
      <c r="D112" s="10" t="s">
        <v>56</v>
      </c>
      <c r="E112" s="10" t="s">
        <v>533</v>
      </c>
      <c r="F112" s="10" t="s">
        <v>379</v>
      </c>
      <c r="G112" s="10" t="s">
        <v>545</v>
      </c>
      <c r="H112" s="11">
        <v>70000.0</v>
      </c>
      <c r="I112" s="11">
        <v>70000.0</v>
      </c>
      <c r="J112" s="17">
        <f t="shared" si="1"/>
        <v>0</v>
      </c>
      <c r="K112" s="11">
        <v>45000.0</v>
      </c>
      <c r="L112" s="10" t="s">
        <v>112</v>
      </c>
      <c r="M112" s="17">
        <f t="shared" si="2"/>
        <v>25000</v>
      </c>
    </row>
    <row r="113">
      <c r="A113" s="10">
        <v>112.0</v>
      </c>
      <c r="B113" s="9">
        <v>46015.0</v>
      </c>
      <c r="C113" s="10" t="s">
        <v>546</v>
      </c>
      <c r="D113" s="10" t="s">
        <v>56</v>
      </c>
      <c r="E113" s="10" t="s">
        <v>228</v>
      </c>
      <c r="F113" s="10" t="s">
        <v>547</v>
      </c>
      <c r="G113" s="10" t="s">
        <v>548</v>
      </c>
      <c r="H113" s="11">
        <v>18500.0</v>
      </c>
      <c r="I113" s="11">
        <v>18500.0</v>
      </c>
      <c r="J113" s="17">
        <f t="shared" si="1"/>
        <v>0</v>
      </c>
      <c r="K113" s="11">
        <v>13500.0</v>
      </c>
      <c r="L113" s="10" t="s">
        <v>112</v>
      </c>
      <c r="M113" s="17">
        <f t="shared" si="2"/>
        <v>5000</v>
      </c>
    </row>
    <row r="114">
      <c r="A114" s="10">
        <v>113.0</v>
      </c>
      <c r="B114" s="9">
        <v>46027.0</v>
      </c>
      <c r="C114" s="10" t="s">
        <v>549</v>
      </c>
      <c r="D114" s="10" t="s">
        <v>56</v>
      </c>
      <c r="E114" s="10" t="s">
        <v>154</v>
      </c>
      <c r="F114" s="10" t="s">
        <v>262</v>
      </c>
      <c r="G114" s="10" t="s">
        <v>550</v>
      </c>
      <c r="H114" s="26">
        <v>143000.0</v>
      </c>
      <c r="I114" s="26">
        <v>143000.0</v>
      </c>
      <c r="J114" s="37">
        <f t="shared" si="1"/>
        <v>0</v>
      </c>
      <c r="K114" s="26">
        <v>138000.0</v>
      </c>
      <c r="L114" s="10" t="s">
        <v>112</v>
      </c>
      <c r="M114" s="37">
        <f t="shared" si="2"/>
        <v>5000</v>
      </c>
    </row>
    <row r="115">
      <c r="A115" s="10">
        <v>114.0</v>
      </c>
      <c r="B115" s="9">
        <v>46030.0</v>
      </c>
      <c r="C115" s="10" t="s">
        <v>551</v>
      </c>
      <c r="D115" s="10" t="s">
        <v>109</v>
      </c>
      <c r="E115" s="10" t="s">
        <v>169</v>
      </c>
      <c r="F115" s="10" t="s">
        <v>552</v>
      </c>
      <c r="G115" s="10" t="s">
        <v>553</v>
      </c>
      <c r="H115" s="26">
        <v>41000.0</v>
      </c>
      <c r="I115" s="26">
        <v>41000.0</v>
      </c>
      <c r="J115" s="37">
        <f t="shared" si="1"/>
        <v>0</v>
      </c>
      <c r="K115" s="26">
        <v>26000.0</v>
      </c>
      <c r="L115" s="10" t="s">
        <v>112</v>
      </c>
      <c r="M115" s="37">
        <f t="shared" si="2"/>
        <v>15000</v>
      </c>
    </row>
    <row r="116">
      <c r="A116" s="10">
        <v>115.0</v>
      </c>
      <c r="B116" s="9">
        <v>46030.0</v>
      </c>
      <c r="C116" s="10" t="s">
        <v>554</v>
      </c>
      <c r="D116" s="10" t="s">
        <v>109</v>
      </c>
      <c r="E116" s="10" t="s">
        <v>178</v>
      </c>
      <c r="F116" s="10" t="s">
        <v>552</v>
      </c>
      <c r="G116" s="10" t="s">
        <v>553</v>
      </c>
      <c r="H116" s="26">
        <v>250000.0</v>
      </c>
      <c r="I116" s="26">
        <v>250000.0</v>
      </c>
      <c r="J116" s="37">
        <f t="shared" si="1"/>
        <v>0</v>
      </c>
      <c r="K116" s="26">
        <v>80000.0</v>
      </c>
      <c r="L116" s="10" t="s">
        <v>112</v>
      </c>
      <c r="M116" s="37">
        <f t="shared" si="2"/>
        <v>170000</v>
      </c>
    </row>
    <row r="117">
      <c r="A117" s="10">
        <v>116.0</v>
      </c>
      <c r="B117" s="9">
        <v>46036.0</v>
      </c>
      <c r="C117" s="10" t="s">
        <v>555</v>
      </c>
      <c r="D117" s="10" t="s">
        <v>56</v>
      </c>
      <c r="E117" s="10" t="s">
        <v>178</v>
      </c>
      <c r="F117" s="10" t="s">
        <v>379</v>
      </c>
      <c r="G117" s="10" t="s">
        <v>556</v>
      </c>
      <c r="H117" s="26">
        <v>480000.0</v>
      </c>
      <c r="I117" s="26">
        <v>480000.0</v>
      </c>
      <c r="J117" s="37">
        <f t="shared" si="1"/>
        <v>0</v>
      </c>
      <c r="K117" s="26">
        <v>380000.0</v>
      </c>
      <c r="L117" s="10" t="s">
        <v>112</v>
      </c>
      <c r="M117" s="37">
        <f t="shared" si="2"/>
        <v>100000</v>
      </c>
    </row>
    <row r="118">
      <c r="A118" s="10">
        <v>117.0</v>
      </c>
      <c r="B118" s="9">
        <v>46063.0</v>
      </c>
      <c r="C118" s="10" t="s">
        <v>557</v>
      </c>
      <c r="D118" s="10" t="s">
        <v>56</v>
      </c>
      <c r="E118" s="10" t="s">
        <v>467</v>
      </c>
      <c r="F118" s="10" t="s">
        <v>379</v>
      </c>
      <c r="G118" s="10" t="s">
        <v>558</v>
      </c>
      <c r="H118" s="26">
        <v>7000.0</v>
      </c>
      <c r="I118" s="26">
        <v>7000.0</v>
      </c>
      <c r="J118" s="37">
        <f t="shared" si="1"/>
        <v>0</v>
      </c>
      <c r="K118" s="26">
        <v>3200.0</v>
      </c>
      <c r="L118" s="10" t="s">
        <v>112</v>
      </c>
      <c r="M118" s="37">
        <f t="shared" si="2"/>
        <v>3800</v>
      </c>
    </row>
    <row r="119">
      <c r="A119" s="10">
        <v>118.0</v>
      </c>
      <c r="B119" s="9">
        <v>46099.0</v>
      </c>
      <c r="C119" s="10" t="s">
        <v>559</v>
      </c>
      <c r="D119" s="10" t="s">
        <v>56</v>
      </c>
      <c r="E119" s="10" t="s">
        <v>512</v>
      </c>
      <c r="F119" s="10" t="s">
        <v>473</v>
      </c>
      <c r="G119" s="10" t="s">
        <v>560</v>
      </c>
      <c r="H119" s="26">
        <v>4200000.0</v>
      </c>
      <c r="I119" s="26">
        <v>4200000.0</v>
      </c>
      <c r="J119" s="37">
        <f t="shared" si="1"/>
        <v>0</v>
      </c>
      <c r="K119" s="26">
        <v>0.0</v>
      </c>
      <c r="L119" s="10" t="s">
        <v>86</v>
      </c>
      <c r="M119" s="37">
        <f t="shared" si="2"/>
        <v>4200000</v>
      </c>
    </row>
    <row r="120">
      <c r="A120" s="10">
        <v>119.0</v>
      </c>
      <c r="B120" s="9">
        <v>46099.0</v>
      </c>
      <c r="C120" s="10" t="s">
        <v>561</v>
      </c>
      <c r="D120" s="10" t="s">
        <v>56</v>
      </c>
      <c r="E120" s="10" t="s">
        <v>364</v>
      </c>
      <c r="F120" s="10" t="s">
        <v>294</v>
      </c>
      <c r="G120" s="10" t="s">
        <v>560</v>
      </c>
      <c r="H120" s="26">
        <v>30000.0</v>
      </c>
      <c r="I120" s="26">
        <v>30000.0</v>
      </c>
      <c r="J120" s="37">
        <f t="shared" si="1"/>
        <v>0</v>
      </c>
      <c r="K120" s="26">
        <v>10000.0</v>
      </c>
      <c r="L120" s="10" t="s">
        <v>112</v>
      </c>
      <c r="M120" s="37">
        <f t="shared" si="2"/>
        <v>20000</v>
      </c>
    </row>
    <row r="121">
      <c r="A121" s="10">
        <v>120.0</v>
      </c>
      <c r="B121" s="9">
        <v>46101.0</v>
      </c>
      <c r="C121" s="10" t="s">
        <v>562</v>
      </c>
      <c r="D121" s="10" t="s">
        <v>109</v>
      </c>
      <c r="E121" s="10" t="s">
        <v>208</v>
      </c>
      <c r="F121" s="10" t="s">
        <v>563</v>
      </c>
      <c r="G121" s="10" t="s">
        <v>564</v>
      </c>
      <c r="H121" s="26">
        <v>185000.0</v>
      </c>
      <c r="I121" s="26">
        <v>0.0</v>
      </c>
      <c r="J121" s="37">
        <f t="shared" si="1"/>
        <v>185000</v>
      </c>
      <c r="K121" s="26">
        <v>70000.0</v>
      </c>
      <c r="L121" s="10" t="s">
        <v>176</v>
      </c>
      <c r="M121" s="37">
        <f t="shared" si="2"/>
        <v>115000</v>
      </c>
    </row>
    <row r="122">
      <c r="A122" s="10">
        <v>121.0</v>
      </c>
      <c r="B122" s="9">
        <v>46103.0</v>
      </c>
      <c r="C122" s="10" t="s">
        <v>565</v>
      </c>
      <c r="D122" s="10" t="s">
        <v>109</v>
      </c>
      <c r="E122" s="10" t="s">
        <v>169</v>
      </c>
      <c r="F122" s="10" t="s">
        <v>552</v>
      </c>
      <c r="G122" s="10" t="s">
        <v>553</v>
      </c>
      <c r="H122" s="26">
        <v>69000.0</v>
      </c>
      <c r="I122" s="26">
        <v>69000.0</v>
      </c>
      <c r="J122" s="37">
        <f t="shared" si="1"/>
        <v>0</v>
      </c>
      <c r="K122" s="26">
        <v>28000.0</v>
      </c>
      <c r="L122" s="10" t="s">
        <v>112</v>
      </c>
      <c r="M122" s="37">
        <f t="shared" si="2"/>
        <v>41000</v>
      </c>
    </row>
    <row r="123">
      <c r="A123" s="10">
        <v>122.0</v>
      </c>
      <c r="B123" s="9">
        <v>46142.0</v>
      </c>
      <c r="C123" s="10" t="s">
        <v>566</v>
      </c>
      <c r="D123" s="10" t="s">
        <v>66</v>
      </c>
      <c r="E123" s="10" t="s">
        <v>280</v>
      </c>
      <c r="F123" s="10" t="s">
        <v>379</v>
      </c>
      <c r="G123" s="10" t="s">
        <v>560</v>
      </c>
      <c r="H123" s="26">
        <v>350000.0</v>
      </c>
      <c r="I123" s="26">
        <v>350000.0</v>
      </c>
      <c r="J123" s="37">
        <f t="shared" si="1"/>
        <v>0</v>
      </c>
      <c r="K123" s="26">
        <v>44000.0</v>
      </c>
      <c r="L123" s="10" t="s">
        <v>112</v>
      </c>
      <c r="M123" s="37">
        <f t="shared" si="2"/>
        <v>306000</v>
      </c>
    </row>
    <row r="124">
      <c r="A124" s="10">
        <v>123.0</v>
      </c>
      <c r="B124" s="9">
        <v>46142.0</v>
      </c>
      <c r="C124" s="10" t="s">
        <v>567</v>
      </c>
      <c r="D124" s="10" t="s">
        <v>56</v>
      </c>
      <c r="E124" s="10" t="s">
        <v>378</v>
      </c>
      <c r="F124" s="10" t="s">
        <v>379</v>
      </c>
      <c r="G124" s="10" t="s">
        <v>560</v>
      </c>
      <c r="H124" s="26">
        <v>18000.0</v>
      </c>
      <c r="I124" s="26">
        <v>18000.0</v>
      </c>
      <c r="J124" s="37">
        <f t="shared" si="1"/>
        <v>0</v>
      </c>
      <c r="K124" s="26">
        <v>6000.0</v>
      </c>
      <c r="L124" s="10" t="s">
        <v>112</v>
      </c>
      <c r="M124" s="37">
        <f t="shared" si="2"/>
        <v>12000</v>
      </c>
    </row>
    <row r="125">
      <c r="A125" s="10">
        <v>124.0</v>
      </c>
      <c r="B125" s="9">
        <v>46142.0</v>
      </c>
      <c r="C125" s="10" t="s">
        <v>568</v>
      </c>
      <c r="D125" s="10" t="s">
        <v>56</v>
      </c>
      <c r="E125" s="10" t="s">
        <v>378</v>
      </c>
      <c r="F125" s="10" t="s">
        <v>379</v>
      </c>
      <c r="G125" s="10" t="s">
        <v>560</v>
      </c>
      <c r="H125" s="26">
        <v>18000.0</v>
      </c>
      <c r="I125" s="26">
        <v>18000.0</v>
      </c>
      <c r="J125" s="37">
        <f t="shared" si="1"/>
        <v>0</v>
      </c>
      <c r="K125" s="26">
        <v>6000.0</v>
      </c>
      <c r="L125" s="10" t="s">
        <v>112</v>
      </c>
      <c r="M125" s="37">
        <f t="shared" si="2"/>
        <v>12000</v>
      </c>
    </row>
    <row r="126">
      <c r="A126" s="10">
        <v>125.0</v>
      </c>
      <c r="B126" s="9">
        <v>46157.0</v>
      </c>
      <c r="C126" s="10" t="s">
        <v>569</v>
      </c>
      <c r="D126" s="10" t="s">
        <v>56</v>
      </c>
      <c r="E126" s="10" t="s">
        <v>278</v>
      </c>
      <c r="F126" s="10" t="s">
        <v>125</v>
      </c>
      <c r="G126" s="10" t="s">
        <v>560</v>
      </c>
      <c r="H126" s="26">
        <v>14000.0</v>
      </c>
      <c r="I126" s="26">
        <v>14000.0</v>
      </c>
      <c r="J126" s="37">
        <f t="shared" si="1"/>
        <v>0</v>
      </c>
      <c r="K126" s="26">
        <v>10000.0</v>
      </c>
      <c r="L126" s="10" t="s">
        <v>112</v>
      </c>
      <c r="M126" s="37">
        <f t="shared" si="2"/>
        <v>4000</v>
      </c>
    </row>
    <row r="127">
      <c r="A127" s="10">
        <v>126.0</v>
      </c>
      <c r="B127" s="9">
        <v>46155.0</v>
      </c>
      <c r="C127" s="10" t="s">
        <v>570</v>
      </c>
      <c r="D127" s="10" t="s">
        <v>109</v>
      </c>
      <c r="E127" s="10" t="s">
        <v>124</v>
      </c>
      <c r="F127" s="10" t="s">
        <v>125</v>
      </c>
      <c r="G127" s="10" t="s">
        <v>571</v>
      </c>
      <c r="H127" s="26">
        <v>26000.0</v>
      </c>
      <c r="I127" s="26">
        <v>26000.0</v>
      </c>
      <c r="J127" s="37">
        <f t="shared" si="1"/>
        <v>0</v>
      </c>
      <c r="K127" s="26">
        <v>14000.0</v>
      </c>
      <c r="L127" s="10" t="s">
        <v>112</v>
      </c>
      <c r="M127" s="37">
        <f t="shared" si="2"/>
        <v>12000</v>
      </c>
    </row>
    <row r="128">
      <c r="A128" s="10">
        <v>127.0</v>
      </c>
      <c r="B128" s="9">
        <v>46155.0</v>
      </c>
      <c r="C128" s="10" t="s">
        <v>572</v>
      </c>
      <c r="D128" s="10" t="s">
        <v>109</v>
      </c>
      <c r="E128" s="10" t="s">
        <v>124</v>
      </c>
      <c r="F128" s="10" t="s">
        <v>125</v>
      </c>
      <c r="G128" s="10" t="s">
        <v>571</v>
      </c>
      <c r="H128" s="26">
        <v>26000.0</v>
      </c>
      <c r="I128" s="26">
        <v>26000.0</v>
      </c>
      <c r="J128" s="37">
        <f t="shared" si="1"/>
        <v>0</v>
      </c>
      <c r="K128" s="26">
        <v>14000.0</v>
      </c>
      <c r="L128" s="10" t="s">
        <v>112</v>
      </c>
      <c r="M128" s="37">
        <f t="shared" si="2"/>
        <v>12000</v>
      </c>
    </row>
    <row r="129">
      <c r="A129" s="10">
        <v>128.0</v>
      </c>
      <c r="B129" s="9">
        <v>46161.0</v>
      </c>
      <c r="C129" s="10" t="s">
        <v>573</v>
      </c>
      <c r="D129" s="10" t="s">
        <v>56</v>
      </c>
      <c r="E129" s="10" t="s">
        <v>408</v>
      </c>
      <c r="F129" s="10" t="s">
        <v>574</v>
      </c>
      <c r="G129" s="10" t="s">
        <v>560</v>
      </c>
      <c r="H129" s="26">
        <v>340000.0</v>
      </c>
      <c r="I129" s="26">
        <v>340000.0</v>
      </c>
      <c r="J129" s="37">
        <f t="shared" si="1"/>
        <v>0</v>
      </c>
      <c r="K129" s="26">
        <v>0.0</v>
      </c>
      <c r="L129" s="10" t="s">
        <v>86</v>
      </c>
      <c r="M129" s="37">
        <f t="shared" si="2"/>
        <v>340000</v>
      </c>
    </row>
    <row r="130">
      <c r="A130" s="10">
        <v>129.0</v>
      </c>
      <c r="B130" s="9">
        <v>46162.0</v>
      </c>
      <c r="C130" s="10" t="s">
        <v>575</v>
      </c>
      <c r="D130" s="10" t="s">
        <v>56</v>
      </c>
      <c r="E130" s="10" t="s">
        <v>576</v>
      </c>
      <c r="F130" s="10" t="s">
        <v>577</v>
      </c>
      <c r="G130" s="10" t="s">
        <v>539</v>
      </c>
      <c r="H130" s="26">
        <v>115000.0</v>
      </c>
      <c r="I130" s="26">
        <v>115000.0</v>
      </c>
      <c r="J130" s="37">
        <f t="shared" si="1"/>
        <v>0</v>
      </c>
      <c r="K130" s="26">
        <v>0.0</v>
      </c>
      <c r="L130" s="10" t="s">
        <v>176</v>
      </c>
      <c r="M130" s="37">
        <f t="shared" si="2"/>
        <v>115000</v>
      </c>
    </row>
    <row r="131">
      <c r="A131" s="10">
        <v>130.0</v>
      </c>
      <c r="B131" s="9">
        <v>46167.0</v>
      </c>
      <c r="C131" s="10" t="s">
        <v>578</v>
      </c>
      <c r="D131" s="10" t="s">
        <v>56</v>
      </c>
      <c r="E131" s="10" t="s">
        <v>579</v>
      </c>
      <c r="F131" s="10" t="s">
        <v>577</v>
      </c>
      <c r="G131" s="10" t="s">
        <v>543</v>
      </c>
      <c r="H131" s="26">
        <v>24000.0</v>
      </c>
      <c r="I131" s="26">
        <v>24000.0</v>
      </c>
      <c r="J131" s="37">
        <f t="shared" si="1"/>
        <v>0</v>
      </c>
      <c r="K131" s="26">
        <v>0.0</v>
      </c>
      <c r="L131" s="10" t="s">
        <v>86</v>
      </c>
      <c r="M131" s="37">
        <f t="shared" si="2"/>
        <v>24000</v>
      </c>
    </row>
    <row r="132">
      <c r="A132" s="10">
        <v>131.0</v>
      </c>
      <c r="B132" s="9">
        <v>46170.0</v>
      </c>
      <c r="C132" s="10" t="s">
        <v>580</v>
      </c>
      <c r="D132" s="10" t="s">
        <v>109</v>
      </c>
      <c r="E132" s="10" t="s">
        <v>278</v>
      </c>
      <c r="F132" s="10" t="s">
        <v>125</v>
      </c>
      <c r="G132" s="10" t="s">
        <v>560</v>
      </c>
      <c r="H132" s="26">
        <v>9236.0</v>
      </c>
      <c r="I132" s="26">
        <v>0.0</v>
      </c>
      <c r="J132" s="37">
        <f t="shared" si="1"/>
        <v>9236</v>
      </c>
      <c r="K132" s="26">
        <v>0.0</v>
      </c>
      <c r="L132" s="10" t="s">
        <v>176</v>
      </c>
      <c r="M132" s="37">
        <f t="shared" si="2"/>
        <v>9236</v>
      </c>
    </row>
    <row r="133">
      <c r="A133" s="10">
        <v>132.0</v>
      </c>
      <c r="B133" s="9">
        <v>46170.0</v>
      </c>
      <c r="C133" s="10" t="s">
        <v>581</v>
      </c>
      <c r="D133" s="10" t="s">
        <v>109</v>
      </c>
      <c r="E133" s="10" t="s">
        <v>278</v>
      </c>
      <c r="F133" s="10" t="s">
        <v>125</v>
      </c>
      <c r="G133" s="10" t="s">
        <v>560</v>
      </c>
      <c r="H133" s="26">
        <v>9236.0</v>
      </c>
      <c r="I133" s="26">
        <v>0.0</v>
      </c>
      <c r="J133" s="37">
        <f t="shared" si="1"/>
        <v>9236</v>
      </c>
      <c r="K133" s="26">
        <v>0.0</v>
      </c>
      <c r="L133" s="10" t="s">
        <v>176</v>
      </c>
      <c r="M133" s="37">
        <f t="shared" si="2"/>
        <v>9236</v>
      </c>
    </row>
    <row r="134">
      <c r="A134" s="10">
        <v>133.0</v>
      </c>
      <c r="B134" s="9">
        <v>46170.0</v>
      </c>
      <c r="C134" s="10" t="s">
        <v>582</v>
      </c>
      <c r="D134" s="10" t="s">
        <v>109</v>
      </c>
      <c r="E134" s="10" t="s">
        <v>278</v>
      </c>
      <c r="F134" s="10" t="s">
        <v>125</v>
      </c>
      <c r="G134" s="10" t="s">
        <v>560</v>
      </c>
      <c r="H134" s="26">
        <v>9236.0</v>
      </c>
      <c r="I134" s="26">
        <v>0.0</v>
      </c>
      <c r="J134" s="37">
        <f t="shared" si="1"/>
        <v>9236</v>
      </c>
      <c r="K134" s="26">
        <v>0.0</v>
      </c>
      <c r="L134" s="10" t="s">
        <v>176</v>
      </c>
      <c r="M134" s="37">
        <f t="shared" si="2"/>
        <v>9236</v>
      </c>
    </row>
    <row r="135">
      <c r="A135" s="10">
        <v>134.0</v>
      </c>
      <c r="B135" s="9">
        <v>46172.0</v>
      </c>
      <c r="C135" s="10" t="s">
        <v>583</v>
      </c>
      <c r="D135" s="10" t="s">
        <v>56</v>
      </c>
      <c r="E135" s="10" t="s">
        <v>584</v>
      </c>
      <c r="F135" s="10" t="s">
        <v>473</v>
      </c>
      <c r="G135" s="10" t="s">
        <v>585</v>
      </c>
      <c r="H135" s="26">
        <v>35000.0</v>
      </c>
      <c r="I135" s="26">
        <v>35000.0</v>
      </c>
      <c r="J135" s="37">
        <f t="shared" si="1"/>
        <v>0</v>
      </c>
      <c r="K135" s="26">
        <v>13225.0</v>
      </c>
      <c r="L135" s="10" t="s">
        <v>112</v>
      </c>
      <c r="M135" s="37">
        <f t="shared" si="2"/>
        <v>21775</v>
      </c>
    </row>
    <row r="136">
      <c r="A136" s="10">
        <v>135.0</v>
      </c>
      <c r="B136" s="9">
        <v>46185.0</v>
      </c>
      <c r="C136" s="10" t="s">
        <v>586</v>
      </c>
      <c r="D136" s="10" t="s">
        <v>56</v>
      </c>
      <c r="E136" s="10" t="s">
        <v>378</v>
      </c>
      <c r="F136" s="10" t="s">
        <v>379</v>
      </c>
      <c r="G136" s="10" t="s">
        <v>560</v>
      </c>
      <c r="H136" s="26">
        <v>30000.0</v>
      </c>
      <c r="I136" s="26">
        <v>30000.0</v>
      </c>
      <c r="J136" s="37">
        <f t="shared" si="1"/>
        <v>0</v>
      </c>
      <c r="K136" s="26">
        <v>11000.0</v>
      </c>
      <c r="L136" s="10" t="s">
        <v>112</v>
      </c>
      <c r="M136" s="37">
        <f t="shared" si="2"/>
        <v>19000</v>
      </c>
    </row>
    <row r="137">
      <c r="A137" s="10">
        <v>136.0</v>
      </c>
      <c r="B137" s="9">
        <v>46188.0</v>
      </c>
      <c r="C137" s="10" t="s">
        <v>587</v>
      </c>
      <c r="D137" s="10" t="s">
        <v>56</v>
      </c>
      <c r="E137" s="10" t="s">
        <v>57</v>
      </c>
      <c r="F137" s="10" t="s">
        <v>588</v>
      </c>
      <c r="G137" s="10" t="s">
        <v>560</v>
      </c>
      <c r="H137" s="26">
        <v>64300.0</v>
      </c>
      <c r="I137" s="26">
        <v>0.0</v>
      </c>
      <c r="J137" s="37">
        <f t="shared" si="1"/>
        <v>64300</v>
      </c>
      <c r="K137" s="26">
        <v>24300.0</v>
      </c>
      <c r="L137" s="10" t="s">
        <v>176</v>
      </c>
      <c r="M137" s="37">
        <f t="shared" si="2"/>
        <v>40000</v>
      </c>
    </row>
    <row r="138">
      <c r="A138" s="10">
        <v>137.0</v>
      </c>
      <c r="B138" s="9">
        <v>46198.0</v>
      </c>
      <c r="C138" s="10" t="s">
        <v>589</v>
      </c>
      <c r="D138" s="10" t="s">
        <v>56</v>
      </c>
      <c r="E138" s="10" t="s">
        <v>400</v>
      </c>
      <c r="F138" s="10" t="s">
        <v>588</v>
      </c>
      <c r="G138" s="10" t="s">
        <v>560</v>
      </c>
      <c r="H138" s="26">
        <v>25000.0</v>
      </c>
      <c r="I138" s="26">
        <v>25000.0</v>
      </c>
      <c r="J138" s="37">
        <f t="shared" si="1"/>
        <v>0</v>
      </c>
      <c r="K138" s="26">
        <v>0.0</v>
      </c>
      <c r="L138" s="10" t="s">
        <v>86</v>
      </c>
      <c r="M138" s="37">
        <f t="shared" si="2"/>
        <v>25000</v>
      </c>
    </row>
    <row r="139">
      <c r="A139" s="10">
        <v>138.0</v>
      </c>
      <c r="B139" s="9">
        <v>46201.0</v>
      </c>
      <c r="C139" s="10" t="s">
        <v>590</v>
      </c>
      <c r="D139" s="10" t="s">
        <v>56</v>
      </c>
      <c r="E139" s="10" t="s">
        <v>584</v>
      </c>
      <c r="F139" s="10" t="s">
        <v>591</v>
      </c>
      <c r="G139" s="10" t="s">
        <v>585</v>
      </c>
      <c r="H139" s="26">
        <v>13500.0</v>
      </c>
      <c r="I139" s="26">
        <v>13500.0</v>
      </c>
      <c r="J139" s="37">
        <f t="shared" si="1"/>
        <v>0</v>
      </c>
      <c r="K139" s="26">
        <v>7273.0</v>
      </c>
      <c r="L139" s="10" t="s">
        <v>112</v>
      </c>
      <c r="M139" s="37">
        <f t="shared" si="2"/>
        <v>6227</v>
      </c>
    </row>
    <row r="140">
      <c r="A140" s="10">
        <v>139.0</v>
      </c>
      <c r="B140" s="9">
        <v>46196.0</v>
      </c>
      <c r="C140" s="10" t="s">
        <v>592</v>
      </c>
      <c r="D140" s="10" t="s">
        <v>109</v>
      </c>
      <c r="E140" s="10" t="s">
        <v>124</v>
      </c>
      <c r="F140" s="10" t="s">
        <v>577</v>
      </c>
      <c r="G140" s="10" t="s">
        <v>571</v>
      </c>
      <c r="H140" s="26">
        <v>55000.0</v>
      </c>
      <c r="I140" s="26">
        <v>55000.0</v>
      </c>
      <c r="J140" s="37">
        <f t="shared" si="1"/>
        <v>0</v>
      </c>
      <c r="K140" s="26">
        <v>40500.0</v>
      </c>
      <c r="L140" s="10" t="s">
        <v>112</v>
      </c>
      <c r="M140" s="37">
        <f t="shared" si="2"/>
        <v>14500</v>
      </c>
    </row>
    <row r="141">
      <c r="A141" s="10">
        <v>140.0</v>
      </c>
      <c r="B141" s="9">
        <v>46199.0</v>
      </c>
      <c r="C141" s="10" t="s">
        <v>593</v>
      </c>
      <c r="D141" s="10" t="s">
        <v>109</v>
      </c>
      <c r="E141" s="10" t="s">
        <v>178</v>
      </c>
      <c r="F141" s="10" t="s">
        <v>594</v>
      </c>
      <c r="G141" s="10" t="s">
        <v>553</v>
      </c>
      <c r="H141" s="26">
        <v>52500.0</v>
      </c>
      <c r="I141" s="26">
        <v>52500.0</v>
      </c>
      <c r="J141" s="37">
        <f t="shared" si="1"/>
        <v>0</v>
      </c>
      <c r="K141" s="26">
        <v>47200.0</v>
      </c>
      <c r="L141" s="10" t="s">
        <v>112</v>
      </c>
      <c r="M141" s="37">
        <f t="shared" si="2"/>
        <v>5300</v>
      </c>
    </row>
    <row r="142">
      <c r="A142" s="10">
        <v>141.0</v>
      </c>
      <c r="B142" s="9">
        <v>46200.0</v>
      </c>
      <c r="C142" s="10" t="s">
        <v>595</v>
      </c>
      <c r="D142" s="10" t="s">
        <v>109</v>
      </c>
      <c r="E142" s="10" t="s">
        <v>116</v>
      </c>
      <c r="F142" s="10" t="s">
        <v>591</v>
      </c>
      <c r="G142" s="10" t="s">
        <v>596</v>
      </c>
      <c r="H142" s="26">
        <v>25200.0</v>
      </c>
      <c r="I142" s="26">
        <v>25200.0</v>
      </c>
      <c r="J142" s="37">
        <f t="shared" si="1"/>
        <v>0</v>
      </c>
      <c r="K142" s="26">
        <v>0.0</v>
      </c>
      <c r="L142" s="10" t="s">
        <v>112</v>
      </c>
      <c r="M142" s="37">
        <f t="shared" si="2"/>
        <v>25200</v>
      </c>
    </row>
    <row r="143">
      <c r="A143" s="10">
        <v>142.0</v>
      </c>
      <c r="B143" s="9">
        <v>46202.0</v>
      </c>
      <c r="C143" s="10" t="s">
        <v>597</v>
      </c>
      <c r="D143" s="10" t="s">
        <v>109</v>
      </c>
      <c r="E143" s="10" t="s">
        <v>584</v>
      </c>
      <c r="F143" s="10" t="s">
        <v>379</v>
      </c>
      <c r="G143" s="10" t="s">
        <v>560</v>
      </c>
      <c r="H143" s="26">
        <v>190000.0</v>
      </c>
      <c r="I143" s="26">
        <v>190000.0</v>
      </c>
      <c r="J143" s="37">
        <f t="shared" si="1"/>
        <v>0</v>
      </c>
      <c r="K143" s="26">
        <v>0.0</v>
      </c>
      <c r="L143" s="10" t="s">
        <v>86</v>
      </c>
      <c r="M143" s="37">
        <f t="shared" si="2"/>
        <v>190000</v>
      </c>
    </row>
    <row r="144">
      <c r="A144" s="10">
        <v>143.0</v>
      </c>
      <c r="B144" s="9">
        <v>46204.0</v>
      </c>
      <c r="C144" s="10" t="s">
        <v>540</v>
      </c>
      <c r="D144" s="10" t="s">
        <v>56</v>
      </c>
      <c r="E144" s="10" t="s">
        <v>598</v>
      </c>
      <c r="F144" s="10" t="s">
        <v>599</v>
      </c>
      <c r="G144" s="10" t="s">
        <v>560</v>
      </c>
      <c r="H144" s="26">
        <v>56000.0</v>
      </c>
      <c r="I144" s="26">
        <v>56000.0</v>
      </c>
      <c r="J144" s="37">
        <f t="shared" si="1"/>
        <v>0</v>
      </c>
      <c r="K144" s="26">
        <v>39500.0</v>
      </c>
      <c r="L144" s="10" t="s">
        <v>112</v>
      </c>
      <c r="M144" s="37">
        <f t="shared" si="2"/>
        <v>16500</v>
      </c>
    </row>
    <row r="145">
      <c r="A145" s="10">
        <v>144.0</v>
      </c>
      <c r="B145" s="9">
        <v>46207.0</v>
      </c>
      <c r="C145" s="10" t="s">
        <v>600</v>
      </c>
      <c r="D145" s="10" t="s">
        <v>56</v>
      </c>
      <c r="E145" s="10" t="s">
        <v>228</v>
      </c>
      <c r="F145" s="10" t="s">
        <v>601</v>
      </c>
      <c r="G145" s="10" t="s">
        <v>560</v>
      </c>
      <c r="H145" s="26">
        <v>30000.0</v>
      </c>
      <c r="I145" s="26">
        <v>30000.0</v>
      </c>
      <c r="J145" s="37">
        <f t="shared" si="1"/>
        <v>0</v>
      </c>
      <c r="K145" s="26">
        <v>11050.0</v>
      </c>
      <c r="L145" s="10" t="s">
        <v>112</v>
      </c>
      <c r="M145" s="37">
        <f t="shared" si="2"/>
        <v>18950</v>
      </c>
    </row>
    <row r="146">
      <c r="A146" s="10">
        <v>145.0</v>
      </c>
      <c r="B146" s="9">
        <v>46209.0</v>
      </c>
      <c r="C146" s="10" t="s">
        <v>602</v>
      </c>
      <c r="D146" s="10" t="s">
        <v>109</v>
      </c>
      <c r="E146" s="10" t="s">
        <v>378</v>
      </c>
      <c r="F146" s="10" t="s">
        <v>294</v>
      </c>
      <c r="G146" s="10" t="s">
        <v>560</v>
      </c>
      <c r="H146" s="26">
        <v>140000.0</v>
      </c>
      <c r="I146" s="26">
        <v>140000.0</v>
      </c>
      <c r="J146" s="37">
        <f t="shared" si="1"/>
        <v>0</v>
      </c>
      <c r="K146" s="26">
        <v>11000.0</v>
      </c>
      <c r="L146" s="10" t="s">
        <v>112</v>
      </c>
      <c r="M146" s="37">
        <f t="shared" si="2"/>
        <v>129000</v>
      </c>
    </row>
    <row r="147">
      <c r="A147" s="10">
        <v>146.0</v>
      </c>
      <c r="B147" s="9">
        <v>46210.0</v>
      </c>
      <c r="C147" s="10" t="s">
        <v>603</v>
      </c>
      <c r="D147" s="10" t="s">
        <v>604</v>
      </c>
      <c r="E147" s="10" t="s">
        <v>584</v>
      </c>
      <c r="F147" s="10" t="s">
        <v>294</v>
      </c>
      <c r="G147" s="10" t="s">
        <v>560</v>
      </c>
      <c r="H147" s="26">
        <v>32500.0</v>
      </c>
      <c r="I147" s="26">
        <v>32500.0</v>
      </c>
      <c r="J147" s="37">
        <f t="shared" si="1"/>
        <v>0</v>
      </c>
      <c r="K147" s="26">
        <v>0.0</v>
      </c>
      <c r="L147" s="10" t="s">
        <v>86</v>
      </c>
      <c r="M147" s="37">
        <f t="shared" si="2"/>
        <v>32500</v>
      </c>
    </row>
    <row r="148">
      <c r="A148" s="10">
        <v>147.0</v>
      </c>
      <c r="B148" s="9">
        <v>46210.0</v>
      </c>
      <c r="C148" s="10" t="s">
        <v>605</v>
      </c>
      <c r="D148" s="10" t="s">
        <v>604</v>
      </c>
      <c r="E148" s="10" t="s">
        <v>584</v>
      </c>
      <c r="F148" s="10" t="s">
        <v>294</v>
      </c>
      <c r="G148" s="10" t="s">
        <v>560</v>
      </c>
      <c r="H148" s="26">
        <v>32500.0</v>
      </c>
      <c r="I148" s="26">
        <v>32500.0</v>
      </c>
      <c r="J148" s="37">
        <f t="shared" si="1"/>
        <v>0</v>
      </c>
      <c r="K148" s="26">
        <v>0.0</v>
      </c>
      <c r="L148" s="10" t="s">
        <v>86</v>
      </c>
      <c r="M148" s="37">
        <f t="shared" si="2"/>
        <v>32500</v>
      </c>
    </row>
    <row r="149">
      <c r="A149" s="10">
        <v>148.0</v>
      </c>
      <c r="B149" s="9">
        <v>46213.0</v>
      </c>
      <c r="C149" s="10" t="s">
        <v>606</v>
      </c>
      <c r="D149" s="10" t="s">
        <v>56</v>
      </c>
      <c r="E149" s="10" t="s">
        <v>228</v>
      </c>
      <c r="F149" s="10" t="s">
        <v>601</v>
      </c>
      <c r="G149" s="10" t="s">
        <v>560</v>
      </c>
      <c r="H149" s="26">
        <v>30000.0</v>
      </c>
      <c r="I149" s="26">
        <v>30000.0</v>
      </c>
      <c r="J149" s="37">
        <f t="shared" si="1"/>
        <v>0</v>
      </c>
      <c r="K149" s="26">
        <v>11050.0</v>
      </c>
      <c r="L149" s="10" t="s">
        <v>112</v>
      </c>
      <c r="M149" s="37">
        <f t="shared" si="2"/>
        <v>18950</v>
      </c>
    </row>
    <row r="150">
      <c r="A150" s="10">
        <v>149.0</v>
      </c>
      <c r="B150" s="9">
        <v>46217.0</v>
      </c>
      <c r="C150" s="10" t="s">
        <v>607</v>
      </c>
      <c r="D150" s="10" t="s">
        <v>56</v>
      </c>
      <c r="E150" s="10" t="s">
        <v>408</v>
      </c>
      <c r="F150" s="10" t="s">
        <v>294</v>
      </c>
      <c r="G150" s="10" t="s">
        <v>560</v>
      </c>
      <c r="H150" s="26">
        <v>35000.0</v>
      </c>
      <c r="I150" s="26">
        <v>35000.0</v>
      </c>
      <c r="J150" s="37">
        <f t="shared" si="1"/>
        <v>0</v>
      </c>
      <c r="K150" s="26">
        <v>11050.0</v>
      </c>
      <c r="L150" s="10" t="s">
        <v>112</v>
      </c>
      <c r="M150" s="37">
        <f t="shared" si="2"/>
        <v>23950</v>
      </c>
    </row>
    <row r="151">
      <c r="A151" s="10">
        <v>150.0</v>
      </c>
      <c r="B151" s="9">
        <v>46217.0</v>
      </c>
      <c r="C151" s="10" t="s">
        <v>609</v>
      </c>
      <c r="D151" s="10" t="s">
        <v>56</v>
      </c>
      <c r="E151" s="10" t="s">
        <v>408</v>
      </c>
      <c r="F151" s="10" t="s">
        <v>294</v>
      </c>
      <c r="G151" s="10" t="s">
        <v>560</v>
      </c>
      <c r="H151" s="26">
        <v>35000.0</v>
      </c>
      <c r="I151" s="26">
        <v>35000.0</v>
      </c>
      <c r="J151" s="37">
        <f t="shared" si="1"/>
        <v>0</v>
      </c>
      <c r="K151" s="26">
        <v>11050.0</v>
      </c>
      <c r="L151" s="10" t="s">
        <v>112</v>
      </c>
      <c r="M151" s="37">
        <f t="shared" si="2"/>
        <v>23950</v>
      </c>
    </row>
    <row r="152">
      <c r="A152" s="10">
        <v>151.0</v>
      </c>
      <c r="B152" s="9">
        <v>46217.0</v>
      </c>
      <c r="C152" s="10" t="s">
        <v>610</v>
      </c>
      <c r="D152" s="10" t="s">
        <v>109</v>
      </c>
      <c r="E152" s="10" t="s">
        <v>278</v>
      </c>
      <c r="F152" s="10" t="s">
        <v>125</v>
      </c>
      <c r="G152" s="10" t="s">
        <v>560</v>
      </c>
      <c r="H152" s="26">
        <v>15000.0</v>
      </c>
      <c r="I152" s="26">
        <v>15000.0</v>
      </c>
      <c r="J152" s="37">
        <f t="shared" si="1"/>
        <v>0</v>
      </c>
      <c r="K152" s="26">
        <v>9000.0</v>
      </c>
      <c r="L152" s="10" t="s">
        <v>112</v>
      </c>
      <c r="M152" s="37">
        <f t="shared" si="2"/>
        <v>6000</v>
      </c>
    </row>
    <row r="153">
      <c r="A153" s="10">
        <v>152.0</v>
      </c>
      <c r="B153" s="9">
        <v>46217.0</v>
      </c>
      <c r="C153" s="10" t="s">
        <v>611</v>
      </c>
      <c r="D153" s="10" t="s">
        <v>109</v>
      </c>
      <c r="E153" s="10" t="s">
        <v>278</v>
      </c>
      <c r="F153" s="10" t="s">
        <v>125</v>
      </c>
      <c r="G153" s="10" t="s">
        <v>560</v>
      </c>
      <c r="H153" s="26">
        <v>15000.0</v>
      </c>
      <c r="I153" s="26">
        <v>15000.0</v>
      </c>
      <c r="J153" s="37">
        <f t="shared" si="1"/>
        <v>0</v>
      </c>
      <c r="K153" s="26">
        <v>9000.0</v>
      </c>
      <c r="L153" s="10" t="s">
        <v>112</v>
      </c>
      <c r="M153" s="37">
        <f t="shared" si="2"/>
        <v>6000</v>
      </c>
    </row>
    <row r="154">
      <c r="A154" s="10">
        <v>153.0</v>
      </c>
      <c r="B154" s="9">
        <v>46217.0</v>
      </c>
      <c r="C154" s="10" t="s">
        <v>612</v>
      </c>
      <c r="D154" s="10" t="s">
        <v>109</v>
      </c>
      <c r="E154" s="10" t="s">
        <v>278</v>
      </c>
      <c r="F154" s="10" t="s">
        <v>125</v>
      </c>
      <c r="G154" s="10" t="s">
        <v>560</v>
      </c>
      <c r="H154" s="26">
        <v>15000.0</v>
      </c>
      <c r="I154" s="26">
        <v>15000.0</v>
      </c>
      <c r="J154" s="37">
        <f t="shared" si="1"/>
        <v>0</v>
      </c>
      <c r="K154" s="26">
        <v>9000.0</v>
      </c>
      <c r="L154" s="10" t="s">
        <v>112</v>
      </c>
      <c r="M154" s="37">
        <f t="shared" si="2"/>
        <v>6000</v>
      </c>
    </row>
    <row r="155">
      <c r="A155" s="10">
        <v>154.0</v>
      </c>
      <c r="B155" s="9">
        <v>46217.0</v>
      </c>
      <c r="C155" s="10" t="s">
        <v>613</v>
      </c>
      <c r="D155" s="10" t="s">
        <v>56</v>
      </c>
      <c r="E155" s="10" t="s">
        <v>584</v>
      </c>
      <c r="F155" s="10" t="s">
        <v>379</v>
      </c>
      <c r="G155" s="10" t="s">
        <v>560</v>
      </c>
      <c r="H155" s="26">
        <v>28000.0</v>
      </c>
      <c r="I155" s="26">
        <v>28000.0</v>
      </c>
      <c r="J155" s="37">
        <f t="shared" si="1"/>
        <v>0</v>
      </c>
      <c r="K155" s="26">
        <v>0.0</v>
      </c>
      <c r="L155" s="10" t="s">
        <v>112</v>
      </c>
      <c r="M155" s="37">
        <f t="shared" si="2"/>
        <v>28000</v>
      </c>
    </row>
    <row r="156">
      <c r="A156" s="10">
        <v>155.0</v>
      </c>
      <c r="B156" s="9">
        <v>46218.0</v>
      </c>
      <c r="C156" s="10" t="s">
        <v>614</v>
      </c>
      <c r="D156" s="10" t="s">
        <v>56</v>
      </c>
      <c r="E156" s="10" t="s">
        <v>228</v>
      </c>
      <c r="F156" s="10" t="s">
        <v>591</v>
      </c>
      <c r="G156" s="10" t="s">
        <v>596</v>
      </c>
      <c r="H156" s="26">
        <v>45000.0</v>
      </c>
      <c r="I156" s="26">
        <v>45000.0</v>
      </c>
      <c r="J156" s="37">
        <f t="shared" si="1"/>
        <v>0</v>
      </c>
      <c r="K156" s="26">
        <v>0.0</v>
      </c>
      <c r="L156" s="10" t="s">
        <v>112</v>
      </c>
      <c r="M156" s="37">
        <f t="shared" si="2"/>
        <v>45000</v>
      </c>
    </row>
    <row r="157">
      <c r="A157" s="10">
        <v>156.0</v>
      </c>
      <c r="B157" s="9">
        <v>46223.0</v>
      </c>
      <c r="C157" s="10" t="s">
        <v>616</v>
      </c>
      <c r="D157" s="10" t="s">
        <v>56</v>
      </c>
      <c r="E157" s="10" t="s">
        <v>228</v>
      </c>
      <c r="F157" s="10" t="s">
        <v>591</v>
      </c>
      <c r="G157" s="10" t="s">
        <v>596</v>
      </c>
      <c r="H157" s="26">
        <v>24000.0</v>
      </c>
      <c r="I157" s="26">
        <v>24000.0</v>
      </c>
      <c r="J157" s="37">
        <f t="shared" si="1"/>
        <v>0</v>
      </c>
      <c r="K157" s="26">
        <v>0.0</v>
      </c>
      <c r="L157" s="10" t="s">
        <v>112</v>
      </c>
      <c r="M157" s="37">
        <f t="shared" si="2"/>
        <v>24000</v>
      </c>
    </row>
    <row r="158">
      <c r="A158" s="10">
        <v>157.0</v>
      </c>
      <c r="B158" s="9">
        <v>46228.0</v>
      </c>
      <c r="C158" s="10" t="s">
        <v>617</v>
      </c>
      <c r="D158" s="10" t="s">
        <v>56</v>
      </c>
      <c r="E158" s="10" t="s">
        <v>400</v>
      </c>
      <c r="F158" s="10" t="s">
        <v>262</v>
      </c>
      <c r="G158" s="10" t="s">
        <v>618</v>
      </c>
      <c r="H158" s="26">
        <v>231200.0</v>
      </c>
      <c r="I158" s="26">
        <v>231200.0</v>
      </c>
      <c r="J158" s="37">
        <f t="shared" si="1"/>
        <v>0</v>
      </c>
      <c r="K158" s="26">
        <v>219800.0</v>
      </c>
      <c r="L158" s="10" t="s">
        <v>112</v>
      </c>
      <c r="M158" s="37">
        <f t="shared" si="2"/>
        <v>11400</v>
      </c>
    </row>
    <row r="159">
      <c r="A159" s="10">
        <v>158.0</v>
      </c>
      <c r="B159" s="9">
        <v>46232.0</v>
      </c>
      <c r="C159" s="10" t="s">
        <v>573</v>
      </c>
      <c r="D159" s="10" t="s">
        <v>56</v>
      </c>
      <c r="E159" s="10" t="s">
        <v>408</v>
      </c>
      <c r="F159" s="10" t="s">
        <v>262</v>
      </c>
      <c r="G159" s="10" t="s">
        <v>618</v>
      </c>
      <c r="H159" s="26">
        <v>358700.0</v>
      </c>
      <c r="I159" s="26">
        <v>358700.0</v>
      </c>
      <c r="J159" s="37">
        <f t="shared" si="1"/>
        <v>0</v>
      </c>
      <c r="K159" s="26">
        <v>338200.0</v>
      </c>
      <c r="L159" s="10" t="s">
        <v>112</v>
      </c>
      <c r="M159" s="37">
        <f t="shared" si="2"/>
        <v>20500</v>
      </c>
    </row>
    <row r="160">
      <c r="A160" s="10">
        <v>159.0</v>
      </c>
      <c r="B160" s="9">
        <v>46240.0</v>
      </c>
      <c r="C160" s="10" t="s">
        <v>620</v>
      </c>
      <c r="D160" s="10" t="s">
        <v>56</v>
      </c>
      <c r="E160" s="10" t="s">
        <v>408</v>
      </c>
      <c r="F160" s="10" t="s">
        <v>473</v>
      </c>
      <c r="G160" s="10" t="s">
        <v>560</v>
      </c>
      <c r="H160" s="26">
        <v>30000.0</v>
      </c>
      <c r="I160" s="26">
        <v>30000.0</v>
      </c>
      <c r="J160" s="37">
        <f t="shared" si="1"/>
        <v>0</v>
      </c>
      <c r="K160" s="26">
        <v>0.0</v>
      </c>
      <c r="L160" s="10" t="s">
        <v>112</v>
      </c>
      <c r="M160" s="37">
        <f t="shared" si="2"/>
        <v>30000</v>
      </c>
    </row>
    <row r="161">
      <c r="A161" s="10">
        <v>160.0</v>
      </c>
      <c r="B161" s="9">
        <v>46246.0</v>
      </c>
      <c r="C161" s="10" t="s">
        <v>623</v>
      </c>
      <c r="D161" s="10" t="s">
        <v>56</v>
      </c>
      <c r="E161" s="10" t="s">
        <v>408</v>
      </c>
      <c r="F161" s="10" t="s">
        <v>473</v>
      </c>
      <c r="G161" s="10" t="s">
        <v>560</v>
      </c>
      <c r="H161" s="26">
        <v>25000.0</v>
      </c>
      <c r="I161" s="26">
        <v>25000.0</v>
      </c>
      <c r="J161" s="37">
        <f t="shared" si="1"/>
        <v>0</v>
      </c>
      <c r="K161" s="26">
        <v>0.0</v>
      </c>
      <c r="L161" s="10" t="s">
        <v>112</v>
      </c>
      <c r="M161" s="37">
        <f t="shared" si="2"/>
        <v>25000</v>
      </c>
    </row>
    <row r="162">
      <c r="A162" s="10">
        <v>161.0</v>
      </c>
      <c r="B162" s="9">
        <v>46251.0</v>
      </c>
      <c r="C162" s="10" t="s">
        <v>625</v>
      </c>
      <c r="D162" s="10" t="s">
        <v>56</v>
      </c>
      <c r="E162" s="10" t="s">
        <v>408</v>
      </c>
      <c r="F162" s="10" t="s">
        <v>473</v>
      </c>
      <c r="G162" s="10" t="s">
        <v>560</v>
      </c>
      <c r="H162" s="26">
        <v>30000.0</v>
      </c>
      <c r="I162" s="26">
        <v>30000.0</v>
      </c>
      <c r="J162" s="37">
        <f t="shared" si="1"/>
        <v>0</v>
      </c>
      <c r="K162" s="26">
        <v>0.0</v>
      </c>
      <c r="L162" s="10" t="s">
        <v>112</v>
      </c>
      <c r="M162" s="37">
        <f t="shared" si="2"/>
        <v>30000</v>
      </c>
    </row>
    <row r="163">
      <c r="A163" s="10">
        <v>162.0</v>
      </c>
      <c r="B163" s="9">
        <v>46247.0</v>
      </c>
      <c r="C163" s="10" t="s">
        <v>626</v>
      </c>
      <c r="D163" s="10" t="s">
        <v>56</v>
      </c>
      <c r="E163" s="10" t="s">
        <v>408</v>
      </c>
      <c r="F163" s="10" t="s">
        <v>294</v>
      </c>
      <c r="G163" s="10" t="s">
        <v>560</v>
      </c>
      <c r="H163" s="26">
        <v>170000.0</v>
      </c>
      <c r="I163" s="26">
        <v>170000.0</v>
      </c>
      <c r="J163" s="37">
        <f t="shared" si="1"/>
        <v>0</v>
      </c>
      <c r="K163" s="26">
        <v>110500.0</v>
      </c>
      <c r="L163" s="10" t="s">
        <v>112</v>
      </c>
      <c r="M163" s="37">
        <f t="shared" si="2"/>
        <v>59500</v>
      </c>
    </row>
    <row r="164">
      <c r="A164" s="10">
        <v>163.0</v>
      </c>
      <c r="B164" s="9">
        <v>46249.0</v>
      </c>
      <c r="C164" s="10" t="s">
        <v>628</v>
      </c>
      <c r="D164" s="10" t="s">
        <v>109</v>
      </c>
      <c r="E164" s="10" t="s">
        <v>400</v>
      </c>
      <c r="F164" s="10" t="s">
        <v>629</v>
      </c>
      <c r="G164" s="10" t="s">
        <v>630</v>
      </c>
      <c r="H164" s="26">
        <v>380000.0</v>
      </c>
      <c r="I164" s="26">
        <v>380000.0</v>
      </c>
      <c r="J164" s="37">
        <f t="shared" si="1"/>
        <v>0</v>
      </c>
      <c r="K164" s="26">
        <v>362200.0</v>
      </c>
      <c r="L164" s="10" t="s">
        <v>112</v>
      </c>
      <c r="M164" s="37">
        <f t="shared" si="2"/>
        <v>17800</v>
      </c>
    </row>
    <row r="165">
      <c r="A165" s="10">
        <v>164.0</v>
      </c>
      <c r="B165" s="9">
        <v>46252.0</v>
      </c>
      <c r="C165" s="10" t="s">
        <v>633</v>
      </c>
      <c r="D165" s="10" t="s">
        <v>109</v>
      </c>
      <c r="E165" s="10" t="s">
        <v>634</v>
      </c>
      <c r="F165" s="10" t="s">
        <v>635</v>
      </c>
      <c r="G165" s="10" t="s">
        <v>560</v>
      </c>
      <c r="H165" s="26">
        <v>80000.0</v>
      </c>
      <c r="I165" s="26">
        <v>80000.0</v>
      </c>
      <c r="J165" s="37">
        <f t="shared" si="1"/>
        <v>0</v>
      </c>
      <c r="K165" s="26">
        <v>64000.0</v>
      </c>
      <c r="L165" s="10" t="s">
        <v>112</v>
      </c>
      <c r="M165" s="37">
        <f t="shared" si="2"/>
        <v>16000</v>
      </c>
    </row>
    <row r="166">
      <c r="A166" s="10">
        <v>165.0</v>
      </c>
      <c r="B166" s="9">
        <v>46253.0</v>
      </c>
      <c r="C166" s="10" t="s">
        <v>640</v>
      </c>
      <c r="D166" s="10" t="s">
        <v>109</v>
      </c>
      <c r="E166" s="10" t="s">
        <v>178</v>
      </c>
      <c r="F166" s="10" t="s">
        <v>552</v>
      </c>
      <c r="G166" s="10" t="s">
        <v>553</v>
      </c>
      <c r="H166" s="26">
        <v>90000.0</v>
      </c>
      <c r="I166" s="26">
        <v>90000.0</v>
      </c>
      <c r="J166" s="37">
        <f t="shared" si="1"/>
        <v>0</v>
      </c>
      <c r="K166" s="26">
        <v>53000.0</v>
      </c>
      <c r="L166" s="10" t="s">
        <v>112</v>
      </c>
      <c r="M166" s="37">
        <f t="shared" si="2"/>
        <v>37000</v>
      </c>
    </row>
    <row r="167">
      <c r="A167" s="21" t="s">
        <v>181</v>
      </c>
      <c r="B167" s="27"/>
      <c r="C167" s="33"/>
      <c r="D167" s="33"/>
      <c r="E167" s="33"/>
      <c r="F167" s="33"/>
      <c r="G167" s="33"/>
      <c r="H167" s="31">
        <f t="shared" ref="H167:K167" si="3">SUM(H2:H166)</f>
        <v>17896531</v>
      </c>
      <c r="I167" s="31">
        <f t="shared" si="3"/>
        <v>17384523</v>
      </c>
      <c r="J167" s="31">
        <f t="shared" si="3"/>
        <v>512008</v>
      </c>
      <c r="K167" s="31">
        <f t="shared" si="3"/>
        <v>7517528</v>
      </c>
      <c r="L167" s="96" t="s">
        <v>660</v>
      </c>
      <c r="M167" s="31">
        <f>SUM(M2:M166)</f>
        <v>10379003</v>
      </c>
    </row>
  </sheetData>
  <dataValidations>
    <dataValidation type="list" allowBlank="1" sqref="D2:D100">
      <formula1>"Kamal,Zeeshan,Company,Other"</formula1>
    </dataValidation>
    <dataValidation type="list" allowBlank="1" sqref="L2:L100">
      <formula1>"Paid,Pending,Partial,N/A"</formula1>
    </dataValidation>
    <dataValidation type="list" allowBlank="1" sqref="F2:F100">
      <formula1>"Visa,Work Visa,Work Visa Appointment,Profile,Profile + Visa Fee,Profile + Appointment,Insurance,TRP,Other"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23.71"/>
    <col customWidth="1" min="3" max="3" width="30.14"/>
    <col customWidth="1" min="4" max="4" width="19.43"/>
    <col customWidth="1" min="5" max="5" width="18.71"/>
    <col customWidth="1" min="6" max="6" width="20.14"/>
    <col customWidth="1" min="7" max="7" width="46.29"/>
  </cols>
  <sheetData>
    <row r="1">
      <c r="A1" s="6" t="s">
        <v>15</v>
      </c>
      <c r="B1" s="6" t="s">
        <v>17</v>
      </c>
      <c r="C1" s="6" t="s">
        <v>18</v>
      </c>
      <c r="D1" s="6" t="s">
        <v>19</v>
      </c>
      <c r="E1" s="6" t="s">
        <v>20</v>
      </c>
      <c r="F1" s="6" t="s">
        <v>22</v>
      </c>
      <c r="G1" s="6" t="s">
        <v>24</v>
      </c>
    </row>
    <row r="2">
      <c r="A2" s="9">
        <v>45662.0</v>
      </c>
      <c r="B2" s="10" t="s">
        <v>36</v>
      </c>
      <c r="C2" s="10" t="s">
        <v>38</v>
      </c>
      <c r="D2" s="11">
        <v>5000.0</v>
      </c>
      <c r="E2" s="10" t="s">
        <v>42</v>
      </c>
      <c r="F2" s="12" t="s">
        <v>43</v>
      </c>
      <c r="G2" s="10" t="s">
        <v>44</v>
      </c>
    </row>
    <row r="3">
      <c r="A3" s="9">
        <v>45664.0</v>
      </c>
      <c r="B3" s="10" t="s">
        <v>45</v>
      </c>
      <c r="C3" s="10" t="s">
        <v>47</v>
      </c>
      <c r="D3" s="11">
        <v>5000.0</v>
      </c>
      <c r="E3" s="10" t="s">
        <v>33</v>
      </c>
      <c r="F3" s="12" t="s">
        <v>43</v>
      </c>
      <c r="G3" s="10" t="s">
        <v>48</v>
      </c>
    </row>
    <row r="4">
      <c r="A4" s="9">
        <v>45667.0</v>
      </c>
      <c r="B4" s="10" t="s">
        <v>49</v>
      </c>
      <c r="C4" s="10" t="s">
        <v>50</v>
      </c>
      <c r="D4" s="11">
        <v>14600.0</v>
      </c>
      <c r="E4" s="10" t="s">
        <v>51</v>
      </c>
      <c r="F4" s="12" t="s">
        <v>43</v>
      </c>
      <c r="G4" s="10" t="s">
        <v>52</v>
      </c>
    </row>
    <row r="5">
      <c r="A5" s="9">
        <v>45669.0</v>
      </c>
      <c r="B5" s="10" t="s">
        <v>49</v>
      </c>
      <c r="C5" s="10" t="s">
        <v>53</v>
      </c>
      <c r="D5" s="11">
        <v>11000.0</v>
      </c>
      <c r="E5" s="10" t="s">
        <v>54</v>
      </c>
      <c r="F5" s="12" t="s">
        <v>43</v>
      </c>
      <c r="G5" s="10" t="s">
        <v>55</v>
      </c>
    </row>
    <row r="6">
      <c r="A6" s="9">
        <v>45672.0</v>
      </c>
      <c r="B6" s="10" t="s">
        <v>45</v>
      </c>
      <c r="C6" s="10" t="s">
        <v>58</v>
      </c>
      <c r="D6" s="11">
        <v>20000.0</v>
      </c>
      <c r="E6" s="10" t="s">
        <v>33</v>
      </c>
      <c r="F6" s="12" t="s">
        <v>43</v>
      </c>
      <c r="G6" s="10" t="s">
        <v>59</v>
      </c>
    </row>
    <row r="7">
      <c r="A7" s="9">
        <v>45675.0</v>
      </c>
      <c r="B7" s="10" t="s">
        <v>60</v>
      </c>
      <c r="C7" s="10" t="s">
        <v>61</v>
      </c>
      <c r="D7" s="11">
        <v>5000.0</v>
      </c>
      <c r="E7" s="10" t="s">
        <v>33</v>
      </c>
      <c r="F7" s="12" t="s">
        <v>62</v>
      </c>
      <c r="G7" s="10" t="s">
        <v>63</v>
      </c>
    </row>
    <row r="8">
      <c r="A8" s="9">
        <v>45677.0</v>
      </c>
      <c r="B8" s="10" t="s">
        <v>60</v>
      </c>
      <c r="C8" s="10" t="s">
        <v>64</v>
      </c>
      <c r="D8" s="11">
        <v>1000.0</v>
      </c>
      <c r="E8" s="10" t="s">
        <v>66</v>
      </c>
      <c r="F8" s="12" t="s">
        <v>62</v>
      </c>
      <c r="G8" s="10" t="s">
        <v>68</v>
      </c>
    </row>
    <row r="9">
      <c r="A9" s="9">
        <v>45679.0</v>
      </c>
      <c r="B9" s="10" t="s">
        <v>36</v>
      </c>
      <c r="C9" s="10" t="s">
        <v>69</v>
      </c>
      <c r="D9" s="11">
        <v>2600.0</v>
      </c>
      <c r="E9" s="10" t="s">
        <v>42</v>
      </c>
      <c r="F9" s="12" t="s">
        <v>62</v>
      </c>
      <c r="G9" s="10" t="s">
        <v>70</v>
      </c>
    </row>
    <row r="10">
      <c r="A10" s="9">
        <v>45682.0</v>
      </c>
      <c r="B10" s="10" t="s">
        <v>36</v>
      </c>
      <c r="C10" s="10" t="s">
        <v>71</v>
      </c>
      <c r="D10" s="11">
        <v>1500.0</v>
      </c>
      <c r="E10" s="10" t="s">
        <v>72</v>
      </c>
      <c r="F10" s="12" t="s">
        <v>62</v>
      </c>
      <c r="G10" s="10" t="s">
        <v>73</v>
      </c>
    </row>
    <row r="11">
      <c r="A11" s="9">
        <v>45685.0</v>
      </c>
      <c r="B11" s="10" t="s">
        <v>60</v>
      </c>
      <c r="C11" s="10" t="s">
        <v>74</v>
      </c>
      <c r="D11" s="11">
        <v>12500.0</v>
      </c>
      <c r="E11" s="10" t="s">
        <v>75</v>
      </c>
      <c r="F11" s="12" t="s">
        <v>62</v>
      </c>
      <c r="G11" s="10" t="s">
        <v>76</v>
      </c>
    </row>
    <row r="12">
      <c r="A12" s="9">
        <v>45687.0</v>
      </c>
      <c r="B12" s="10" t="s">
        <v>77</v>
      </c>
      <c r="C12" s="10" t="s">
        <v>78</v>
      </c>
      <c r="D12" s="11">
        <v>1200.0</v>
      </c>
      <c r="E12" s="10" t="s">
        <v>42</v>
      </c>
      <c r="F12" s="12" t="s">
        <v>43</v>
      </c>
      <c r="G12" s="10" t="s">
        <v>79</v>
      </c>
    </row>
    <row r="13">
      <c r="A13" s="13">
        <v>45693.0</v>
      </c>
      <c r="B13" s="14" t="s">
        <v>45</v>
      </c>
      <c r="C13" s="15" t="s">
        <v>80</v>
      </c>
      <c r="D13" s="16">
        <v>3000.0</v>
      </c>
      <c r="E13" s="14" t="s">
        <v>42</v>
      </c>
      <c r="F13" s="18" t="s">
        <v>43</v>
      </c>
      <c r="G13" s="14" t="s">
        <v>81</v>
      </c>
    </row>
    <row r="14">
      <c r="A14" s="13">
        <v>45696.0</v>
      </c>
      <c r="B14" s="14" t="s">
        <v>36</v>
      </c>
      <c r="C14" s="14" t="s">
        <v>82</v>
      </c>
      <c r="D14" s="19">
        <v>400.0</v>
      </c>
      <c r="E14" s="14" t="s">
        <v>33</v>
      </c>
      <c r="F14" s="18" t="s">
        <v>43</v>
      </c>
      <c r="G14" s="14" t="s">
        <v>87</v>
      </c>
    </row>
    <row r="15">
      <c r="A15" s="13">
        <v>45700.0</v>
      </c>
      <c r="B15" s="14" t="s">
        <v>77</v>
      </c>
      <c r="C15" s="14" t="s">
        <v>88</v>
      </c>
      <c r="D15" s="19">
        <v>4000.0</v>
      </c>
      <c r="E15" s="14" t="s">
        <v>42</v>
      </c>
      <c r="F15" s="18" t="s">
        <v>43</v>
      </c>
      <c r="G15" s="14" t="s">
        <v>90</v>
      </c>
    </row>
    <row r="16">
      <c r="A16" s="13">
        <v>45703.0</v>
      </c>
      <c r="B16" s="14" t="s">
        <v>36</v>
      </c>
      <c r="C16" s="14" t="s">
        <v>38</v>
      </c>
      <c r="D16" s="19">
        <v>1000.0</v>
      </c>
      <c r="E16" s="14" t="s">
        <v>42</v>
      </c>
      <c r="F16" s="18" t="s">
        <v>62</v>
      </c>
      <c r="G16" s="14" t="s">
        <v>91</v>
      </c>
    </row>
    <row r="17">
      <c r="A17" s="13">
        <v>45712.0</v>
      </c>
      <c r="B17" s="14" t="s">
        <v>45</v>
      </c>
      <c r="C17" s="14" t="s">
        <v>78</v>
      </c>
      <c r="D17" s="19">
        <v>3000.0</v>
      </c>
      <c r="E17" s="14" t="s">
        <v>42</v>
      </c>
      <c r="F17" s="18" t="s">
        <v>43</v>
      </c>
      <c r="G17" s="14" t="s">
        <v>92</v>
      </c>
    </row>
    <row r="18">
      <c r="A18" s="13">
        <v>45712.0</v>
      </c>
      <c r="B18" s="14" t="s">
        <v>60</v>
      </c>
      <c r="C18" s="14" t="s">
        <v>64</v>
      </c>
      <c r="D18" s="19">
        <v>2000.0</v>
      </c>
      <c r="E18" s="14" t="s">
        <v>66</v>
      </c>
      <c r="F18" s="18" t="s">
        <v>62</v>
      </c>
      <c r="G18" s="14" t="s">
        <v>94</v>
      </c>
    </row>
    <row r="19">
      <c r="A19" s="13">
        <v>45713.0</v>
      </c>
      <c r="B19" s="14" t="s">
        <v>45</v>
      </c>
      <c r="C19" s="14" t="s">
        <v>96</v>
      </c>
      <c r="D19" s="19">
        <v>740.0</v>
      </c>
      <c r="E19" s="14" t="s">
        <v>42</v>
      </c>
      <c r="F19" s="18" t="s">
        <v>43</v>
      </c>
      <c r="G19" s="14" t="s">
        <v>99</v>
      </c>
    </row>
    <row r="20">
      <c r="A20" s="13">
        <v>45714.0</v>
      </c>
      <c r="B20" s="14" t="s">
        <v>36</v>
      </c>
      <c r="C20" s="14" t="s">
        <v>102</v>
      </c>
      <c r="D20" s="19">
        <v>6350.0</v>
      </c>
      <c r="E20" s="14" t="s">
        <v>42</v>
      </c>
      <c r="F20" s="18" t="s">
        <v>62</v>
      </c>
      <c r="G20" s="14" t="s">
        <v>105</v>
      </c>
    </row>
    <row r="21">
      <c r="A21" s="13">
        <v>45715.0</v>
      </c>
      <c r="B21" s="14" t="s">
        <v>77</v>
      </c>
      <c r="C21" s="14" t="s">
        <v>108</v>
      </c>
      <c r="D21" s="19">
        <v>400.0</v>
      </c>
      <c r="E21" s="14" t="s">
        <v>66</v>
      </c>
      <c r="F21" s="18" t="s">
        <v>43</v>
      </c>
      <c r="G21" s="14" t="s">
        <v>110</v>
      </c>
    </row>
    <row r="22">
      <c r="A22" s="13">
        <v>45716.0</v>
      </c>
      <c r="B22" s="14" t="s">
        <v>49</v>
      </c>
      <c r="C22" s="14" t="s">
        <v>113</v>
      </c>
      <c r="D22" s="19">
        <v>15000.0</v>
      </c>
      <c r="E22" s="14" t="s">
        <v>66</v>
      </c>
      <c r="F22" s="18" t="s">
        <v>62</v>
      </c>
      <c r="G22" s="14" t="s">
        <v>114</v>
      </c>
    </row>
    <row r="23">
      <c r="A23" s="20">
        <v>45729.0</v>
      </c>
      <c r="B23" s="21" t="s">
        <v>36</v>
      </c>
      <c r="C23" s="21" t="s">
        <v>38</v>
      </c>
      <c r="D23" s="22">
        <v>1000.0</v>
      </c>
      <c r="E23" s="21" t="s">
        <v>42</v>
      </c>
      <c r="F23" s="23" t="s">
        <v>43</v>
      </c>
      <c r="G23" s="21" t="s">
        <v>122</v>
      </c>
    </row>
    <row r="24">
      <c r="A24" s="9">
        <v>45734.0</v>
      </c>
      <c r="B24" s="10" t="s">
        <v>60</v>
      </c>
      <c r="C24" s="10" t="s">
        <v>64</v>
      </c>
      <c r="D24" s="11">
        <v>1000.0</v>
      </c>
      <c r="E24" s="10" t="s">
        <v>66</v>
      </c>
      <c r="F24" s="12" t="s">
        <v>62</v>
      </c>
      <c r="G24" s="10" t="s">
        <v>94</v>
      </c>
    </row>
    <row r="25">
      <c r="A25" s="9">
        <v>45736.0</v>
      </c>
      <c r="B25" s="10" t="s">
        <v>36</v>
      </c>
      <c r="C25" s="10" t="s">
        <v>71</v>
      </c>
      <c r="D25" s="11">
        <v>2790.0</v>
      </c>
      <c r="E25" s="10" t="s">
        <v>42</v>
      </c>
      <c r="F25" s="12" t="s">
        <v>62</v>
      </c>
      <c r="G25" s="10" t="s">
        <v>128</v>
      </c>
    </row>
    <row r="26">
      <c r="A26" s="9">
        <v>45740.0</v>
      </c>
      <c r="B26" s="10" t="s">
        <v>49</v>
      </c>
      <c r="C26" s="10" t="s">
        <v>113</v>
      </c>
      <c r="D26" s="11">
        <v>17000.0</v>
      </c>
      <c r="E26" s="10" t="s">
        <v>66</v>
      </c>
      <c r="F26" s="12" t="s">
        <v>62</v>
      </c>
      <c r="G26" s="10" t="s">
        <v>114</v>
      </c>
    </row>
    <row r="27">
      <c r="A27" s="9">
        <v>45742.0</v>
      </c>
      <c r="B27" s="10" t="s">
        <v>36</v>
      </c>
      <c r="C27" s="10" t="s">
        <v>102</v>
      </c>
      <c r="D27" s="11">
        <v>4309.0</v>
      </c>
      <c r="E27" s="10" t="s">
        <v>42</v>
      </c>
      <c r="F27" s="12" t="s">
        <v>62</v>
      </c>
      <c r="G27" s="10" t="s">
        <v>133</v>
      </c>
    </row>
    <row r="28">
      <c r="A28" s="9">
        <v>45762.0</v>
      </c>
      <c r="B28" s="10" t="s">
        <v>60</v>
      </c>
      <c r="C28" s="10" t="s">
        <v>64</v>
      </c>
      <c r="D28" s="11">
        <v>1250.0</v>
      </c>
      <c r="E28" s="10" t="s">
        <v>66</v>
      </c>
      <c r="F28" s="12" t="s">
        <v>62</v>
      </c>
      <c r="G28" s="10" t="s">
        <v>94</v>
      </c>
    </row>
    <row r="29">
      <c r="A29" s="9">
        <v>45767.0</v>
      </c>
      <c r="B29" s="10" t="s">
        <v>36</v>
      </c>
      <c r="C29" s="10" t="s">
        <v>71</v>
      </c>
      <c r="D29" s="11">
        <v>3130.0</v>
      </c>
      <c r="E29" s="10" t="s">
        <v>42</v>
      </c>
      <c r="F29" s="12" t="s">
        <v>62</v>
      </c>
      <c r="G29" s="10" t="s">
        <v>128</v>
      </c>
    </row>
    <row r="30">
      <c r="A30" s="9">
        <v>45782.0</v>
      </c>
      <c r="B30" s="10" t="s">
        <v>36</v>
      </c>
      <c r="C30" s="10" t="s">
        <v>82</v>
      </c>
      <c r="D30" s="11">
        <v>1000.0</v>
      </c>
      <c r="E30" s="10" t="s">
        <v>33</v>
      </c>
      <c r="F30" s="12" t="s">
        <v>43</v>
      </c>
      <c r="G30" s="10" t="s">
        <v>87</v>
      </c>
    </row>
    <row r="31">
      <c r="A31" s="9">
        <v>45784.0</v>
      </c>
      <c r="B31" s="10" t="s">
        <v>140</v>
      </c>
      <c r="C31" s="10" t="s">
        <v>141</v>
      </c>
      <c r="D31" s="11">
        <v>90000.0</v>
      </c>
      <c r="E31" s="10" t="s">
        <v>42</v>
      </c>
      <c r="F31" s="12" t="s">
        <v>62</v>
      </c>
      <c r="G31" s="10" t="s">
        <v>143</v>
      </c>
    </row>
    <row r="32">
      <c r="A32" s="9">
        <v>45789.0</v>
      </c>
      <c r="B32" s="10" t="s">
        <v>49</v>
      </c>
      <c r="C32" s="10" t="s">
        <v>113</v>
      </c>
      <c r="D32" s="11">
        <v>15000.0</v>
      </c>
      <c r="E32" s="10" t="s">
        <v>66</v>
      </c>
      <c r="F32" s="12" t="s">
        <v>62</v>
      </c>
      <c r="G32" s="10" t="s">
        <v>145</v>
      </c>
    </row>
    <row r="33">
      <c r="A33" s="9">
        <v>45789.0</v>
      </c>
      <c r="B33" s="10" t="s">
        <v>45</v>
      </c>
      <c r="C33" s="10" t="s">
        <v>80</v>
      </c>
      <c r="D33" s="11">
        <v>2000.0</v>
      </c>
      <c r="E33" s="10" t="s">
        <v>42</v>
      </c>
      <c r="F33" s="12" t="s">
        <v>43</v>
      </c>
      <c r="G33" s="10" t="s">
        <v>148</v>
      </c>
    </row>
    <row r="34">
      <c r="A34" s="9">
        <v>45790.0</v>
      </c>
      <c r="B34" s="10" t="s">
        <v>36</v>
      </c>
      <c r="C34" s="10" t="s">
        <v>38</v>
      </c>
      <c r="D34" s="11">
        <v>1000.0</v>
      </c>
      <c r="E34" s="10" t="s">
        <v>42</v>
      </c>
      <c r="F34" s="12" t="s">
        <v>43</v>
      </c>
      <c r="G34" s="10" t="s">
        <v>151</v>
      </c>
    </row>
    <row r="35">
      <c r="A35" s="9">
        <v>45798.0</v>
      </c>
      <c r="B35" s="10" t="s">
        <v>36</v>
      </c>
      <c r="C35" s="10" t="s">
        <v>102</v>
      </c>
      <c r="D35" s="11">
        <v>4706.0</v>
      </c>
      <c r="E35" s="10" t="s">
        <v>42</v>
      </c>
      <c r="F35" s="12" t="s">
        <v>62</v>
      </c>
      <c r="G35" s="10" t="s">
        <v>105</v>
      </c>
    </row>
    <row r="36">
      <c r="A36" s="9">
        <v>45798.0</v>
      </c>
      <c r="B36" s="10" t="s">
        <v>36</v>
      </c>
      <c r="C36" s="10" t="s">
        <v>71</v>
      </c>
      <c r="D36" s="11">
        <v>3800.0</v>
      </c>
      <c r="E36" s="10" t="s">
        <v>42</v>
      </c>
      <c r="F36" s="12" t="s">
        <v>62</v>
      </c>
      <c r="G36" s="10" t="s">
        <v>128</v>
      </c>
    </row>
    <row r="37">
      <c r="A37" s="9">
        <v>45808.0</v>
      </c>
      <c r="B37" s="10" t="s">
        <v>77</v>
      </c>
      <c r="C37" s="10" t="s">
        <v>157</v>
      </c>
      <c r="D37" s="11">
        <v>15400.0</v>
      </c>
      <c r="E37" s="10" t="s">
        <v>42</v>
      </c>
      <c r="F37" s="12" t="s">
        <v>43</v>
      </c>
      <c r="G37" s="10" t="s">
        <v>159</v>
      </c>
    </row>
    <row r="38">
      <c r="A38" s="9">
        <v>45813.0</v>
      </c>
      <c r="B38" s="10" t="s">
        <v>49</v>
      </c>
      <c r="C38" s="10" t="s">
        <v>113</v>
      </c>
      <c r="D38" s="11">
        <v>15000.0</v>
      </c>
      <c r="E38" s="10" t="s">
        <v>66</v>
      </c>
      <c r="F38" s="12" t="s">
        <v>62</v>
      </c>
      <c r="G38" s="10" t="s">
        <v>114</v>
      </c>
    </row>
    <row r="39">
      <c r="A39" s="9">
        <v>45823.0</v>
      </c>
      <c r="B39" s="10" t="s">
        <v>45</v>
      </c>
      <c r="C39" s="10" t="s">
        <v>80</v>
      </c>
      <c r="D39" s="11">
        <v>4818.0</v>
      </c>
      <c r="E39" s="10" t="s">
        <v>42</v>
      </c>
      <c r="F39" s="12" t="s">
        <v>43</v>
      </c>
      <c r="G39" s="10" t="s">
        <v>148</v>
      </c>
    </row>
    <row r="40">
      <c r="A40" s="9">
        <v>45824.0</v>
      </c>
      <c r="B40" s="10" t="s">
        <v>45</v>
      </c>
      <c r="C40" s="10" t="s">
        <v>80</v>
      </c>
      <c r="D40" s="11">
        <v>2400.0</v>
      </c>
      <c r="E40" s="10" t="s">
        <v>42</v>
      </c>
      <c r="F40" s="12" t="s">
        <v>43</v>
      </c>
      <c r="G40" s="10" t="s">
        <v>165</v>
      </c>
    </row>
    <row r="41">
      <c r="A41" s="9">
        <v>45828.0</v>
      </c>
      <c r="B41" s="10" t="s">
        <v>36</v>
      </c>
      <c r="C41" s="10" t="s">
        <v>102</v>
      </c>
      <c r="D41" s="11">
        <v>6934.0</v>
      </c>
      <c r="E41" s="10" t="s">
        <v>42</v>
      </c>
      <c r="F41" s="12" t="s">
        <v>62</v>
      </c>
      <c r="G41" s="10" t="s">
        <v>105</v>
      </c>
    </row>
    <row r="42">
      <c r="A42" s="9">
        <v>45828.0</v>
      </c>
      <c r="B42" s="10" t="s">
        <v>45</v>
      </c>
      <c r="C42" s="10" t="s">
        <v>168</v>
      </c>
      <c r="D42" s="11">
        <v>25000.0</v>
      </c>
      <c r="E42" s="10" t="s">
        <v>33</v>
      </c>
      <c r="F42" s="12" t="s">
        <v>43</v>
      </c>
      <c r="G42" s="10" t="s">
        <v>170</v>
      </c>
    </row>
    <row r="43">
      <c r="A43" s="9">
        <v>45830.0</v>
      </c>
      <c r="B43" s="10" t="s">
        <v>45</v>
      </c>
      <c r="C43" s="10" t="s">
        <v>78</v>
      </c>
      <c r="D43" s="11">
        <v>1150.0</v>
      </c>
      <c r="E43" s="10" t="s">
        <v>42</v>
      </c>
      <c r="F43" s="12" t="s">
        <v>43</v>
      </c>
      <c r="G43" s="10" t="s">
        <v>175</v>
      </c>
    </row>
    <row r="44">
      <c r="A44" s="9">
        <v>45833.0</v>
      </c>
      <c r="B44" s="10" t="s">
        <v>45</v>
      </c>
      <c r="C44" s="10" t="s">
        <v>78</v>
      </c>
      <c r="D44" s="11">
        <v>680.0</v>
      </c>
      <c r="E44" s="10" t="s">
        <v>42</v>
      </c>
      <c r="F44" s="12" t="s">
        <v>43</v>
      </c>
      <c r="G44" s="10" t="s">
        <v>175</v>
      </c>
    </row>
    <row r="45">
      <c r="A45" s="9">
        <v>45833.0</v>
      </c>
      <c r="B45" s="10" t="s">
        <v>45</v>
      </c>
      <c r="C45" s="10" t="s">
        <v>168</v>
      </c>
      <c r="D45" s="11">
        <v>43000.0</v>
      </c>
      <c r="E45" s="10" t="s">
        <v>33</v>
      </c>
      <c r="F45" s="12" t="s">
        <v>62</v>
      </c>
      <c r="G45" s="10" t="s">
        <v>182</v>
      </c>
    </row>
    <row r="46">
      <c r="A46" s="9">
        <v>45836.0</v>
      </c>
      <c r="B46" s="10" t="s">
        <v>77</v>
      </c>
      <c r="C46" s="10" t="s">
        <v>183</v>
      </c>
      <c r="D46" s="11">
        <v>11370.0</v>
      </c>
      <c r="E46" s="10" t="s">
        <v>42</v>
      </c>
      <c r="F46" s="12" t="s">
        <v>43</v>
      </c>
      <c r="G46" s="10" t="s">
        <v>184</v>
      </c>
    </row>
    <row r="47">
      <c r="A47" s="9">
        <v>45840.0</v>
      </c>
      <c r="B47" s="10" t="s">
        <v>45</v>
      </c>
      <c r="C47" s="10" t="s">
        <v>185</v>
      </c>
      <c r="D47" s="11">
        <v>1120.0</v>
      </c>
      <c r="E47" s="10" t="s">
        <v>33</v>
      </c>
      <c r="F47" s="12" t="s">
        <v>43</v>
      </c>
      <c r="G47" s="10" t="s">
        <v>186</v>
      </c>
    </row>
    <row r="48">
      <c r="A48" s="9">
        <v>45841.0</v>
      </c>
      <c r="B48" s="10" t="s">
        <v>77</v>
      </c>
      <c r="C48" s="10" t="s">
        <v>187</v>
      </c>
      <c r="D48" s="11">
        <v>25000.0</v>
      </c>
      <c r="E48" s="10" t="s">
        <v>66</v>
      </c>
      <c r="F48" s="12" t="s">
        <v>43</v>
      </c>
      <c r="G48" s="10" t="s">
        <v>188</v>
      </c>
    </row>
    <row r="49">
      <c r="A49" s="9">
        <v>45846.0</v>
      </c>
      <c r="B49" s="10" t="s">
        <v>45</v>
      </c>
      <c r="C49" s="10" t="s">
        <v>80</v>
      </c>
      <c r="D49" s="11">
        <v>3597.0</v>
      </c>
      <c r="E49" s="10" t="s">
        <v>42</v>
      </c>
      <c r="F49" s="12" t="s">
        <v>43</v>
      </c>
      <c r="G49" s="10" t="s">
        <v>189</v>
      </c>
    </row>
    <row r="50">
      <c r="A50" s="9">
        <v>45847.0</v>
      </c>
      <c r="B50" s="10" t="s">
        <v>45</v>
      </c>
      <c r="C50" s="10" t="s">
        <v>190</v>
      </c>
      <c r="D50" s="11">
        <v>500.0</v>
      </c>
      <c r="E50" s="10" t="s">
        <v>33</v>
      </c>
      <c r="F50" s="12" t="s">
        <v>43</v>
      </c>
      <c r="G50" s="10" t="s">
        <v>192</v>
      </c>
    </row>
    <row r="51">
      <c r="A51" s="9">
        <v>45848.0</v>
      </c>
      <c r="B51" s="10" t="s">
        <v>36</v>
      </c>
      <c r="C51" s="10" t="s">
        <v>38</v>
      </c>
      <c r="D51" s="11">
        <v>2400.0</v>
      </c>
      <c r="E51" s="10" t="s">
        <v>42</v>
      </c>
      <c r="F51" s="12" t="s">
        <v>43</v>
      </c>
      <c r="G51" s="10" t="s">
        <v>194</v>
      </c>
    </row>
    <row r="52">
      <c r="A52" s="9">
        <v>45849.0</v>
      </c>
      <c r="B52" s="10" t="s">
        <v>77</v>
      </c>
      <c r="C52" s="10" t="s">
        <v>196</v>
      </c>
      <c r="D52" s="11">
        <v>10000.0</v>
      </c>
      <c r="E52" s="10" t="s">
        <v>66</v>
      </c>
      <c r="F52" s="12" t="s">
        <v>62</v>
      </c>
      <c r="G52" s="10" t="s">
        <v>197</v>
      </c>
    </row>
    <row r="53">
      <c r="A53" s="9">
        <v>45849.0</v>
      </c>
      <c r="B53" s="10" t="s">
        <v>77</v>
      </c>
      <c r="C53" s="10" t="s">
        <v>196</v>
      </c>
      <c r="D53" s="11">
        <v>50000.0</v>
      </c>
      <c r="E53" s="10" t="s">
        <v>66</v>
      </c>
      <c r="F53" s="12" t="s">
        <v>62</v>
      </c>
      <c r="G53" s="10" t="s">
        <v>198</v>
      </c>
    </row>
    <row r="54">
      <c r="A54" s="9">
        <v>45853.0</v>
      </c>
      <c r="B54" s="10" t="s">
        <v>140</v>
      </c>
      <c r="C54" s="10" t="s">
        <v>199</v>
      </c>
      <c r="D54" s="11">
        <v>7500.0</v>
      </c>
      <c r="E54" s="10" t="s">
        <v>33</v>
      </c>
      <c r="F54" s="12" t="s">
        <v>43</v>
      </c>
      <c r="G54" s="10" t="s">
        <v>200</v>
      </c>
    </row>
    <row r="55">
      <c r="A55" s="9">
        <v>45856.0</v>
      </c>
      <c r="B55" s="10" t="s">
        <v>45</v>
      </c>
      <c r="C55" s="10" t="s">
        <v>80</v>
      </c>
      <c r="D55" s="11">
        <v>2610.0</v>
      </c>
      <c r="E55" s="10" t="s">
        <v>42</v>
      </c>
      <c r="F55" s="12" t="s">
        <v>43</v>
      </c>
      <c r="G55" s="10" t="s">
        <v>189</v>
      </c>
    </row>
    <row r="56">
      <c r="A56" s="9">
        <v>45856.0</v>
      </c>
      <c r="B56" s="10" t="s">
        <v>36</v>
      </c>
      <c r="C56" s="10" t="s">
        <v>38</v>
      </c>
      <c r="D56" s="11">
        <v>1000.0</v>
      </c>
      <c r="E56" s="10" t="s">
        <v>42</v>
      </c>
      <c r="F56" s="12" t="s">
        <v>43</v>
      </c>
      <c r="G56" s="10" t="s">
        <v>201</v>
      </c>
    </row>
    <row r="57">
      <c r="A57" s="9">
        <v>45859.0</v>
      </c>
      <c r="B57" s="10" t="s">
        <v>36</v>
      </c>
      <c r="C57" s="10" t="s">
        <v>102</v>
      </c>
      <c r="D57" s="11">
        <v>13099.0</v>
      </c>
      <c r="E57" s="10" t="s">
        <v>42</v>
      </c>
      <c r="F57" s="12" t="s">
        <v>62</v>
      </c>
      <c r="G57" s="10" t="s">
        <v>105</v>
      </c>
    </row>
    <row r="58">
      <c r="A58" s="9">
        <v>45859.0</v>
      </c>
      <c r="B58" s="10" t="s">
        <v>36</v>
      </c>
      <c r="C58" s="10" t="s">
        <v>71</v>
      </c>
      <c r="D58" s="11">
        <v>3790.0</v>
      </c>
      <c r="E58" s="10" t="s">
        <v>42</v>
      </c>
      <c r="F58" s="12" t="s">
        <v>62</v>
      </c>
      <c r="G58" s="10" t="s">
        <v>128</v>
      </c>
    </row>
    <row r="59">
      <c r="A59" s="9">
        <v>45859.0</v>
      </c>
      <c r="B59" s="10" t="s">
        <v>45</v>
      </c>
      <c r="C59" s="10" t="s">
        <v>80</v>
      </c>
      <c r="D59" s="11">
        <v>2000.0</v>
      </c>
      <c r="E59" s="10" t="s">
        <v>42</v>
      </c>
      <c r="F59" s="12" t="s">
        <v>43</v>
      </c>
      <c r="G59" s="10" t="s">
        <v>205</v>
      </c>
    </row>
    <row r="60">
      <c r="A60" s="9">
        <v>45863.0</v>
      </c>
      <c r="B60" s="10" t="s">
        <v>77</v>
      </c>
      <c r="C60" s="10" t="s">
        <v>183</v>
      </c>
      <c r="D60" s="11">
        <v>14256.0</v>
      </c>
      <c r="E60" s="10" t="s">
        <v>42</v>
      </c>
      <c r="F60" s="12" t="s">
        <v>43</v>
      </c>
      <c r="G60" s="10" t="s">
        <v>206</v>
      </c>
    </row>
    <row r="61">
      <c r="A61" s="9">
        <v>45866.0</v>
      </c>
      <c r="B61" s="10" t="s">
        <v>45</v>
      </c>
      <c r="C61" s="10" t="s">
        <v>80</v>
      </c>
      <c r="D61" s="11">
        <v>5141.0</v>
      </c>
      <c r="E61" s="10" t="s">
        <v>42</v>
      </c>
      <c r="F61" s="12" t="s">
        <v>43</v>
      </c>
      <c r="G61" s="10" t="s">
        <v>189</v>
      </c>
    </row>
    <row r="62">
      <c r="A62" s="9">
        <v>45870.0</v>
      </c>
      <c r="B62" s="10" t="s">
        <v>45</v>
      </c>
      <c r="C62" s="10" t="s">
        <v>80</v>
      </c>
      <c r="D62" s="11">
        <v>7607.0</v>
      </c>
      <c r="E62" s="10" t="s">
        <v>42</v>
      </c>
      <c r="F62" s="12" t="s">
        <v>43</v>
      </c>
      <c r="G62" s="10" t="s">
        <v>209</v>
      </c>
    </row>
    <row r="63">
      <c r="A63" s="9">
        <v>45877.0</v>
      </c>
      <c r="B63" s="10" t="s">
        <v>45</v>
      </c>
      <c r="C63" s="10" t="s">
        <v>210</v>
      </c>
      <c r="D63" s="11">
        <v>2500.0</v>
      </c>
      <c r="E63" s="10" t="s">
        <v>33</v>
      </c>
      <c r="F63" s="12" t="s">
        <v>43</v>
      </c>
      <c r="G63" s="10" t="s">
        <v>211</v>
      </c>
    </row>
    <row r="64">
      <c r="A64" s="9">
        <v>45877.0</v>
      </c>
      <c r="B64" s="10" t="s">
        <v>45</v>
      </c>
      <c r="C64" s="10" t="s">
        <v>78</v>
      </c>
      <c r="D64" s="11">
        <v>500.0</v>
      </c>
      <c r="E64" s="10" t="s">
        <v>33</v>
      </c>
      <c r="F64" s="12" t="s">
        <v>43</v>
      </c>
      <c r="G64" s="10" t="s">
        <v>212</v>
      </c>
    </row>
    <row r="65">
      <c r="A65" s="9">
        <v>45880.0</v>
      </c>
      <c r="B65" s="10" t="s">
        <v>36</v>
      </c>
      <c r="C65" s="10" t="s">
        <v>38</v>
      </c>
      <c r="D65" s="11">
        <v>2000.0</v>
      </c>
      <c r="E65" s="10" t="s">
        <v>42</v>
      </c>
      <c r="F65" s="12" t="s">
        <v>43</v>
      </c>
      <c r="G65" s="10" t="s">
        <v>214</v>
      </c>
    </row>
    <row r="66">
      <c r="A66" s="9">
        <v>45884.0</v>
      </c>
      <c r="B66" s="10" t="s">
        <v>36</v>
      </c>
      <c r="C66" s="10" t="s">
        <v>38</v>
      </c>
      <c r="D66" s="11">
        <v>1000.0</v>
      </c>
      <c r="E66" s="10" t="s">
        <v>42</v>
      </c>
      <c r="F66" s="12" t="s">
        <v>43</v>
      </c>
      <c r="G66" s="10" t="s">
        <v>194</v>
      </c>
    </row>
    <row r="67">
      <c r="A67" s="9">
        <v>45894.0</v>
      </c>
      <c r="B67" s="10" t="s">
        <v>77</v>
      </c>
      <c r="C67" s="10" t="s">
        <v>183</v>
      </c>
      <c r="D67" s="11">
        <v>13493.0</v>
      </c>
      <c r="E67" s="10" t="s">
        <v>42</v>
      </c>
      <c r="F67" s="12" t="s">
        <v>43</v>
      </c>
      <c r="G67" s="10" t="s">
        <v>217</v>
      </c>
    </row>
    <row r="68">
      <c r="A68" s="9">
        <v>45895.0</v>
      </c>
      <c r="B68" s="10" t="s">
        <v>36</v>
      </c>
      <c r="C68" s="10" t="s">
        <v>102</v>
      </c>
      <c r="D68" s="11">
        <v>17565.0</v>
      </c>
      <c r="E68" s="10" t="s">
        <v>42</v>
      </c>
      <c r="F68" s="12" t="s">
        <v>62</v>
      </c>
      <c r="G68" s="10" t="s">
        <v>105</v>
      </c>
    </row>
    <row r="69">
      <c r="A69" s="9">
        <v>45901.0</v>
      </c>
      <c r="B69" s="10" t="s">
        <v>36</v>
      </c>
      <c r="C69" s="10" t="s">
        <v>38</v>
      </c>
      <c r="D69" s="11">
        <v>1600.0</v>
      </c>
      <c r="E69" s="10" t="s">
        <v>42</v>
      </c>
      <c r="F69" s="12" t="s">
        <v>43</v>
      </c>
      <c r="G69" s="10" t="s">
        <v>214</v>
      </c>
    </row>
    <row r="70">
      <c r="A70" s="9">
        <v>45903.0</v>
      </c>
      <c r="B70" s="10" t="s">
        <v>45</v>
      </c>
      <c r="C70" s="10" t="s">
        <v>80</v>
      </c>
      <c r="D70" s="11">
        <v>11700.0</v>
      </c>
      <c r="E70" s="10" t="s">
        <v>42</v>
      </c>
      <c r="F70" s="12" t="s">
        <v>43</v>
      </c>
      <c r="G70" s="10" t="s">
        <v>189</v>
      </c>
    </row>
    <row r="71">
      <c r="A71" s="9">
        <v>45905.0</v>
      </c>
      <c r="B71" s="10" t="s">
        <v>45</v>
      </c>
      <c r="C71" s="10" t="s">
        <v>80</v>
      </c>
      <c r="D71" s="11">
        <v>4860.0</v>
      </c>
      <c r="E71" s="10" t="s">
        <v>42</v>
      </c>
      <c r="F71" s="12" t="s">
        <v>43</v>
      </c>
      <c r="G71" s="10" t="s">
        <v>189</v>
      </c>
    </row>
    <row r="72">
      <c r="A72" s="9">
        <v>45915.0</v>
      </c>
      <c r="B72" s="10" t="s">
        <v>77</v>
      </c>
      <c r="C72" s="10" t="s">
        <v>183</v>
      </c>
      <c r="D72" s="11">
        <v>18770.0</v>
      </c>
      <c r="E72" s="10" t="s">
        <v>42</v>
      </c>
      <c r="F72" s="12" t="s">
        <v>43</v>
      </c>
      <c r="G72" s="10" t="s">
        <v>220</v>
      </c>
    </row>
    <row r="73">
      <c r="A73" s="9">
        <v>45920.0</v>
      </c>
      <c r="B73" s="10" t="s">
        <v>36</v>
      </c>
      <c r="C73" s="10" t="s">
        <v>102</v>
      </c>
      <c r="D73" s="11">
        <v>15270.0</v>
      </c>
      <c r="E73" s="10" t="s">
        <v>42</v>
      </c>
      <c r="F73" s="12" t="s">
        <v>62</v>
      </c>
      <c r="G73" s="10" t="s">
        <v>105</v>
      </c>
    </row>
    <row r="74">
      <c r="A74" s="9">
        <v>45921.0</v>
      </c>
      <c r="B74" s="10" t="s">
        <v>140</v>
      </c>
      <c r="C74" s="10" t="s">
        <v>221</v>
      </c>
      <c r="D74" s="11">
        <v>2000.0</v>
      </c>
      <c r="E74" s="10" t="s">
        <v>33</v>
      </c>
      <c r="F74" s="12" t="s">
        <v>43</v>
      </c>
      <c r="G74" s="10" t="s">
        <v>222</v>
      </c>
    </row>
    <row r="75">
      <c r="A75" s="9">
        <v>45922.0</v>
      </c>
      <c r="B75" s="10" t="s">
        <v>140</v>
      </c>
      <c r="C75" s="10" t="s">
        <v>223</v>
      </c>
      <c r="D75" s="11">
        <v>3300.0</v>
      </c>
      <c r="E75" s="10" t="s">
        <v>33</v>
      </c>
      <c r="F75" s="12" t="s">
        <v>43</v>
      </c>
      <c r="G75" s="10" t="s">
        <v>224</v>
      </c>
    </row>
    <row r="76">
      <c r="A76" s="9">
        <v>45923.0</v>
      </c>
      <c r="B76" s="10" t="s">
        <v>77</v>
      </c>
      <c r="C76" s="10" t="s">
        <v>225</v>
      </c>
      <c r="D76" s="11">
        <v>8000.0</v>
      </c>
      <c r="E76" s="10" t="s">
        <v>42</v>
      </c>
      <c r="F76" s="12" t="s">
        <v>43</v>
      </c>
      <c r="G76" s="10" t="s">
        <v>226</v>
      </c>
    </row>
    <row r="77">
      <c r="A77" s="9">
        <v>45924.0</v>
      </c>
      <c r="B77" s="10" t="s">
        <v>36</v>
      </c>
      <c r="C77" s="10" t="s">
        <v>71</v>
      </c>
      <c r="D77" s="11">
        <v>3800.0</v>
      </c>
      <c r="E77" s="10" t="s">
        <v>42</v>
      </c>
      <c r="F77" s="12" t="s">
        <v>62</v>
      </c>
      <c r="G77" s="10" t="s">
        <v>128</v>
      </c>
    </row>
    <row r="78">
      <c r="A78" s="9">
        <v>45939.0</v>
      </c>
      <c r="B78" s="10" t="s">
        <v>36</v>
      </c>
      <c r="C78" s="10" t="s">
        <v>38</v>
      </c>
      <c r="D78" s="11">
        <v>2600.0</v>
      </c>
      <c r="E78" s="10" t="s">
        <v>42</v>
      </c>
      <c r="F78" s="12" t="s">
        <v>43</v>
      </c>
      <c r="G78" s="10" t="s">
        <v>194</v>
      </c>
    </row>
    <row r="79">
      <c r="A79" s="9">
        <v>45945.0</v>
      </c>
      <c r="B79" s="10" t="s">
        <v>45</v>
      </c>
      <c r="C79" s="10" t="s">
        <v>80</v>
      </c>
      <c r="D79" s="11">
        <v>9835.0</v>
      </c>
      <c r="E79" s="10" t="s">
        <v>42</v>
      </c>
      <c r="F79" s="12" t="s">
        <v>43</v>
      </c>
      <c r="G79" s="10" t="s">
        <v>148</v>
      </c>
    </row>
    <row r="80">
      <c r="A80" s="9">
        <v>45947.0</v>
      </c>
      <c r="B80" s="10" t="s">
        <v>36</v>
      </c>
      <c r="C80" s="10" t="s">
        <v>71</v>
      </c>
      <c r="D80" s="11">
        <v>3630.0</v>
      </c>
      <c r="E80" s="10" t="s">
        <v>42</v>
      </c>
      <c r="F80" s="12" t="s">
        <v>62</v>
      </c>
      <c r="G80" s="10" t="s">
        <v>128</v>
      </c>
    </row>
    <row r="81">
      <c r="A81" s="9">
        <v>45955.0</v>
      </c>
      <c r="B81" s="10" t="s">
        <v>77</v>
      </c>
      <c r="C81" s="10" t="s">
        <v>183</v>
      </c>
      <c r="D81" s="11">
        <v>16260.0</v>
      </c>
      <c r="E81" s="10" t="s">
        <v>42</v>
      </c>
      <c r="F81" s="12" t="s">
        <v>43</v>
      </c>
      <c r="G81" s="10" t="s">
        <v>231</v>
      </c>
    </row>
    <row r="82">
      <c r="A82" s="9">
        <v>45957.0</v>
      </c>
      <c r="B82" s="10" t="s">
        <v>36</v>
      </c>
      <c r="C82" s="10" t="s">
        <v>102</v>
      </c>
      <c r="D82" s="11">
        <v>14940.0</v>
      </c>
      <c r="E82" s="10" t="s">
        <v>42</v>
      </c>
      <c r="F82" s="12" t="s">
        <v>62</v>
      </c>
      <c r="G82" s="10" t="s">
        <v>105</v>
      </c>
    </row>
    <row r="83">
      <c r="A83" s="9">
        <v>45958.0</v>
      </c>
      <c r="B83" s="10" t="s">
        <v>77</v>
      </c>
      <c r="C83" s="10" t="s">
        <v>78</v>
      </c>
      <c r="D83" s="11">
        <v>4140.0</v>
      </c>
      <c r="E83" s="10" t="s">
        <v>42</v>
      </c>
      <c r="F83" s="12" t="s">
        <v>43</v>
      </c>
      <c r="G83" s="10" t="s">
        <v>233</v>
      </c>
    </row>
    <row r="84">
      <c r="A84" s="9">
        <v>45960.0</v>
      </c>
      <c r="B84" s="10" t="s">
        <v>45</v>
      </c>
      <c r="C84" s="10" t="s">
        <v>168</v>
      </c>
      <c r="D84" s="11">
        <v>5200.0</v>
      </c>
      <c r="E84" s="10" t="s">
        <v>33</v>
      </c>
      <c r="F84" s="12" t="s">
        <v>43</v>
      </c>
      <c r="G84" s="10" t="s">
        <v>235</v>
      </c>
    </row>
    <row r="85">
      <c r="A85" s="9">
        <v>45966.0</v>
      </c>
      <c r="B85" s="10" t="s">
        <v>45</v>
      </c>
      <c r="C85" s="10" t="s">
        <v>80</v>
      </c>
      <c r="D85" s="11">
        <v>5970.0</v>
      </c>
      <c r="E85" s="10" t="s">
        <v>42</v>
      </c>
      <c r="F85" s="12" t="s">
        <v>43</v>
      </c>
      <c r="G85" s="10" t="s">
        <v>148</v>
      </c>
    </row>
    <row r="86">
      <c r="A86" s="9">
        <v>45971.0</v>
      </c>
      <c r="B86" s="10" t="s">
        <v>36</v>
      </c>
      <c r="C86" s="10" t="s">
        <v>38</v>
      </c>
      <c r="D86" s="11">
        <v>2200.0</v>
      </c>
      <c r="E86" s="10" t="s">
        <v>42</v>
      </c>
      <c r="F86" s="12" t="s">
        <v>43</v>
      </c>
      <c r="G86" s="10" t="s">
        <v>194</v>
      </c>
    </row>
    <row r="87">
      <c r="A87" s="9">
        <v>45985.0</v>
      </c>
      <c r="B87" s="10" t="s">
        <v>36</v>
      </c>
      <c r="C87" s="10" t="s">
        <v>102</v>
      </c>
      <c r="D87" s="11">
        <v>10130.0</v>
      </c>
      <c r="E87" s="10" t="s">
        <v>42</v>
      </c>
      <c r="F87" s="12" t="s">
        <v>62</v>
      </c>
      <c r="G87" s="10" t="s">
        <v>105</v>
      </c>
    </row>
    <row r="88">
      <c r="A88" s="9">
        <v>45986.0</v>
      </c>
      <c r="B88" s="10" t="s">
        <v>77</v>
      </c>
      <c r="C88" s="10" t="s">
        <v>183</v>
      </c>
      <c r="D88" s="11">
        <v>17320.0</v>
      </c>
      <c r="E88" s="10" t="s">
        <v>42</v>
      </c>
      <c r="F88" s="12" t="s">
        <v>43</v>
      </c>
      <c r="G88" s="10" t="s">
        <v>238</v>
      </c>
    </row>
    <row r="89">
      <c r="A89" s="9">
        <v>45996.0</v>
      </c>
      <c r="B89" s="10" t="s">
        <v>36</v>
      </c>
      <c r="C89" s="10" t="s">
        <v>38</v>
      </c>
      <c r="D89" s="11">
        <v>1600.0</v>
      </c>
      <c r="E89" s="10" t="s">
        <v>42</v>
      </c>
      <c r="F89" s="12" t="s">
        <v>43</v>
      </c>
      <c r="G89" s="10" t="s">
        <v>194</v>
      </c>
    </row>
    <row r="90">
      <c r="A90" s="9">
        <v>46001.0</v>
      </c>
      <c r="B90" s="10" t="s">
        <v>45</v>
      </c>
      <c r="C90" s="10" t="s">
        <v>80</v>
      </c>
      <c r="D90" s="11">
        <v>1950.0</v>
      </c>
      <c r="E90" s="10" t="s">
        <v>42</v>
      </c>
      <c r="F90" s="12" t="s">
        <v>43</v>
      </c>
      <c r="G90" s="10" t="s">
        <v>148</v>
      </c>
    </row>
    <row r="91">
      <c r="A91" s="9">
        <v>46011.0</v>
      </c>
      <c r="B91" s="10" t="s">
        <v>36</v>
      </c>
      <c r="C91" s="10" t="s">
        <v>71</v>
      </c>
      <c r="D91" s="11">
        <v>4090.0</v>
      </c>
      <c r="E91" s="10" t="s">
        <v>42</v>
      </c>
      <c r="F91" s="12" t="s">
        <v>62</v>
      </c>
      <c r="G91" s="10" t="s">
        <v>128</v>
      </c>
    </row>
    <row r="92">
      <c r="A92" s="9">
        <v>46016.0</v>
      </c>
      <c r="B92" s="10" t="s">
        <v>77</v>
      </c>
      <c r="C92" s="10" t="s">
        <v>183</v>
      </c>
      <c r="D92" s="11">
        <v>8760.0</v>
      </c>
      <c r="E92" s="10" t="s">
        <v>42</v>
      </c>
      <c r="F92" s="12" t="s">
        <v>43</v>
      </c>
      <c r="G92" s="10" t="s">
        <v>241</v>
      </c>
    </row>
    <row r="93">
      <c r="A93" s="9">
        <v>46038.0</v>
      </c>
      <c r="B93" s="10" t="s">
        <v>36</v>
      </c>
      <c r="C93" s="10" t="s">
        <v>243</v>
      </c>
      <c r="D93" s="26">
        <v>4490.0</v>
      </c>
      <c r="E93" s="10" t="s">
        <v>244</v>
      </c>
      <c r="F93" s="12" t="s">
        <v>62</v>
      </c>
      <c r="G93" s="10" t="s">
        <v>245</v>
      </c>
    </row>
    <row r="94">
      <c r="A94" s="9">
        <v>46041.0</v>
      </c>
      <c r="B94" s="10" t="s">
        <v>36</v>
      </c>
      <c r="C94" s="10" t="s">
        <v>38</v>
      </c>
      <c r="D94" s="26">
        <v>1800.0</v>
      </c>
      <c r="E94" s="10" t="s">
        <v>42</v>
      </c>
      <c r="F94" s="12" t="s">
        <v>43</v>
      </c>
      <c r="G94" s="10" t="s">
        <v>246</v>
      </c>
    </row>
    <row r="95">
      <c r="A95" s="9">
        <v>46048.0</v>
      </c>
      <c r="B95" s="10" t="s">
        <v>36</v>
      </c>
      <c r="C95" s="10" t="s">
        <v>248</v>
      </c>
      <c r="D95" s="26">
        <v>13960.0</v>
      </c>
      <c r="E95" s="10" t="s">
        <v>249</v>
      </c>
      <c r="F95" s="12" t="s">
        <v>62</v>
      </c>
      <c r="G95" s="10" t="s">
        <v>245</v>
      </c>
    </row>
    <row r="96">
      <c r="A96" s="9">
        <v>46023.0</v>
      </c>
      <c r="B96" s="10" t="s">
        <v>45</v>
      </c>
      <c r="C96" s="10" t="s">
        <v>80</v>
      </c>
      <c r="D96" s="26">
        <v>6580.0</v>
      </c>
      <c r="E96" s="10" t="s">
        <v>42</v>
      </c>
      <c r="F96" s="12" t="s">
        <v>43</v>
      </c>
      <c r="G96" s="10" t="s">
        <v>246</v>
      </c>
    </row>
    <row r="97">
      <c r="A97" s="9">
        <v>46037.0</v>
      </c>
      <c r="B97" s="10" t="s">
        <v>36</v>
      </c>
      <c r="C97" s="10" t="s">
        <v>250</v>
      </c>
      <c r="D97" s="26">
        <v>1000.0</v>
      </c>
      <c r="E97" s="10" t="s">
        <v>252</v>
      </c>
      <c r="F97" s="12" t="s">
        <v>43</v>
      </c>
      <c r="G97" s="10" t="s">
        <v>253</v>
      </c>
    </row>
    <row r="98">
      <c r="A98" s="9">
        <v>46023.0</v>
      </c>
      <c r="B98" s="10" t="s">
        <v>77</v>
      </c>
      <c r="C98" s="10" t="s">
        <v>254</v>
      </c>
      <c r="D98" s="26">
        <v>12440.0</v>
      </c>
      <c r="E98" s="10" t="s">
        <v>42</v>
      </c>
      <c r="F98" s="12" t="s">
        <v>43</v>
      </c>
      <c r="G98" s="10" t="s">
        <v>255</v>
      </c>
    </row>
    <row r="99">
      <c r="A99" s="9">
        <v>46066.0</v>
      </c>
      <c r="B99" s="10" t="s">
        <v>36</v>
      </c>
      <c r="C99" s="10" t="s">
        <v>250</v>
      </c>
      <c r="D99" s="26">
        <v>1000.0</v>
      </c>
      <c r="E99" s="10" t="s">
        <v>252</v>
      </c>
      <c r="F99" s="12" t="s">
        <v>43</v>
      </c>
      <c r="G99" s="10" t="s">
        <v>245</v>
      </c>
    </row>
    <row r="100">
      <c r="A100" s="9">
        <v>46054.0</v>
      </c>
      <c r="B100" s="10" t="s">
        <v>45</v>
      </c>
      <c r="C100" s="10" t="s">
        <v>80</v>
      </c>
      <c r="D100" s="26">
        <v>460.0</v>
      </c>
      <c r="E100" s="10" t="s">
        <v>42</v>
      </c>
      <c r="F100" s="12" t="s">
        <v>43</v>
      </c>
      <c r="G100" s="10" t="s">
        <v>246</v>
      </c>
    </row>
    <row r="101">
      <c r="A101" s="9">
        <v>46054.0</v>
      </c>
      <c r="B101" s="10" t="s">
        <v>77</v>
      </c>
      <c r="C101" s="10" t="s">
        <v>254</v>
      </c>
      <c r="D101" s="26">
        <v>11240.0</v>
      </c>
      <c r="E101" s="10" t="s">
        <v>42</v>
      </c>
      <c r="F101" s="12" t="s">
        <v>43</v>
      </c>
      <c r="G101" s="10" t="s">
        <v>246</v>
      </c>
    </row>
    <row r="102">
      <c r="A102" s="9">
        <v>46071.0</v>
      </c>
      <c r="B102" s="10" t="s">
        <v>36</v>
      </c>
      <c r="C102" s="10" t="s">
        <v>243</v>
      </c>
      <c r="D102" s="26">
        <v>4480.0</v>
      </c>
      <c r="E102" s="10" t="s">
        <v>244</v>
      </c>
      <c r="F102" s="12" t="s">
        <v>62</v>
      </c>
      <c r="G102" s="10" t="s">
        <v>245</v>
      </c>
    </row>
    <row r="103">
      <c r="A103" s="9">
        <v>46082.0</v>
      </c>
      <c r="B103" s="10" t="s">
        <v>36</v>
      </c>
      <c r="C103" s="10" t="s">
        <v>250</v>
      </c>
      <c r="D103" s="26">
        <v>1000.0</v>
      </c>
      <c r="E103" s="10" t="s">
        <v>252</v>
      </c>
      <c r="F103" s="12" t="s">
        <v>43</v>
      </c>
      <c r="G103" s="10" t="s">
        <v>246</v>
      </c>
    </row>
    <row r="104">
      <c r="A104" s="9">
        <v>46082.0</v>
      </c>
      <c r="B104" s="10" t="s">
        <v>45</v>
      </c>
      <c r="C104" s="10" t="s">
        <v>80</v>
      </c>
      <c r="D104" s="26">
        <v>2450.0</v>
      </c>
      <c r="E104" s="10" t="s">
        <v>42</v>
      </c>
      <c r="F104" s="12" t="s">
        <v>43</v>
      </c>
      <c r="G104" s="10" t="s">
        <v>259</v>
      </c>
    </row>
    <row r="105">
      <c r="A105" s="9">
        <v>46099.0</v>
      </c>
      <c r="B105" s="10" t="s">
        <v>36</v>
      </c>
      <c r="C105" s="10" t="s">
        <v>243</v>
      </c>
      <c r="D105" s="26">
        <v>4500.0</v>
      </c>
      <c r="E105" s="10" t="s">
        <v>244</v>
      </c>
      <c r="F105" s="12" t="s">
        <v>62</v>
      </c>
      <c r="G105" s="10" t="s">
        <v>245</v>
      </c>
    </row>
    <row r="106">
      <c r="A106" s="9">
        <v>46108.0</v>
      </c>
      <c r="B106" s="10" t="s">
        <v>36</v>
      </c>
      <c r="C106" s="10" t="s">
        <v>248</v>
      </c>
      <c r="D106" s="26">
        <v>13354.0</v>
      </c>
      <c r="E106" s="10" t="s">
        <v>249</v>
      </c>
      <c r="F106" s="12" t="s">
        <v>62</v>
      </c>
      <c r="G106" s="10" t="s">
        <v>246</v>
      </c>
    </row>
    <row r="107">
      <c r="A107" s="9">
        <v>46082.0</v>
      </c>
      <c r="B107" s="10" t="s">
        <v>45</v>
      </c>
      <c r="C107" s="10" t="s">
        <v>263</v>
      </c>
      <c r="D107" s="26">
        <v>2200.0</v>
      </c>
      <c r="E107" s="10" t="s">
        <v>33</v>
      </c>
      <c r="F107" s="12" t="s">
        <v>43</v>
      </c>
      <c r="G107" s="10" t="s">
        <v>264</v>
      </c>
    </row>
    <row r="108">
      <c r="A108" s="9">
        <v>46086.0</v>
      </c>
      <c r="B108" s="10" t="s">
        <v>77</v>
      </c>
      <c r="C108" s="10" t="s">
        <v>265</v>
      </c>
      <c r="D108" s="26">
        <v>2460.0</v>
      </c>
      <c r="E108" s="10" t="s">
        <v>266</v>
      </c>
      <c r="F108" s="12" t="s">
        <v>43</v>
      </c>
      <c r="G108" s="10" t="s">
        <v>267</v>
      </c>
    </row>
    <row r="109">
      <c r="A109" s="9">
        <v>46096.0</v>
      </c>
      <c r="B109" s="10" t="s">
        <v>77</v>
      </c>
      <c r="C109" s="10" t="s">
        <v>254</v>
      </c>
      <c r="D109" s="26">
        <v>3520.0</v>
      </c>
      <c r="E109" s="10" t="s">
        <v>42</v>
      </c>
      <c r="F109" s="12" t="s">
        <v>43</v>
      </c>
      <c r="G109" s="10" t="s">
        <v>269</v>
      </c>
    </row>
    <row r="110">
      <c r="A110" s="9">
        <v>46112.0</v>
      </c>
      <c r="B110" s="10" t="s">
        <v>49</v>
      </c>
      <c r="C110" s="10" t="s">
        <v>272</v>
      </c>
      <c r="D110" s="26">
        <v>20000.0</v>
      </c>
      <c r="E110" s="10" t="s">
        <v>273</v>
      </c>
      <c r="F110" s="12" t="s">
        <v>43</v>
      </c>
      <c r="G110" s="10" t="s">
        <v>274</v>
      </c>
    </row>
    <row r="111">
      <c r="A111" s="9">
        <v>46114.0</v>
      </c>
      <c r="B111" s="10" t="s">
        <v>45</v>
      </c>
      <c r="C111" s="10" t="s">
        <v>263</v>
      </c>
      <c r="D111" s="26">
        <v>1600.0</v>
      </c>
      <c r="E111" s="10" t="s">
        <v>33</v>
      </c>
      <c r="F111" s="12" t="s">
        <v>43</v>
      </c>
      <c r="G111" s="10" t="s">
        <v>246</v>
      </c>
    </row>
    <row r="112">
      <c r="A112" s="9">
        <v>46128.0</v>
      </c>
      <c r="B112" s="10" t="s">
        <v>36</v>
      </c>
      <c r="C112" s="10" t="s">
        <v>243</v>
      </c>
      <c r="D112" s="26">
        <v>4510.0</v>
      </c>
      <c r="E112" s="10" t="s">
        <v>244</v>
      </c>
      <c r="F112" s="12" t="s">
        <v>62</v>
      </c>
      <c r="G112" s="10" t="s">
        <v>245</v>
      </c>
    </row>
    <row r="113">
      <c r="A113" s="9">
        <v>46113.0</v>
      </c>
      <c r="B113" s="10" t="s">
        <v>45</v>
      </c>
      <c r="C113" s="10" t="s">
        <v>80</v>
      </c>
      <c r="D113" s="26">
        <v>1900.0</v>
      </c>
      <c r="E113" s="10" t="s">
        <v>42</v>
      </c>
      <c r="F113" s="12" t="s">
        <v>43</v>
      </c>
      <c r="G113" s="10" t="s">
        <v>246</v>
      </c>
    </row>
    <row r="114">
      <c r="A114" s="9">
        <v>46113.0</v>
      </c>
      <c r="B114" s="10" t="s">
        <v>36</v>
      </c>
      <c r="C114" s="10" t="s">
        <v>250</v>
      </c>
      <c r="D114" s="26">
        <v>1000.0</v>
      </c>
      <c r="E114" s="10" t="s">
        <v>252</v>
      </c>
      <c r="F114" s="12" t="s">
        <v>43</v>
      </c>
      <c r="G114" s="10" t="s">
        <v>245</v>
      </c>
    </row>
    <row r="115">
      <c r="A115" s="9">
        <v>46116.0</v>
      </c>
      <c r="B115" s="10" t="s">
        <v>45</v>
      </c>
      <c r="C115" s="10" t="s">
        <v>210</v>
      </c>
      <c r="D115" s="26">
        <v>2500.0</v>
      </c>
      <c r="E115" s="10" t="s">
        <v>33</v>
      </c>
      <c r="F115" s="12" t="s">
        <v>43</v>
      </c>
      <c r="G115" s="10" t="s">
        <v>246</v>
      </c>
    </row>
    <row r="116">
      <c r="A116" s="9">
        <v>46113.0</v>
      </c>
      <c r="B116" s="10" t="s">
        <v>77</v>
      </c>
      <c r="C116" s="10" t="s">
        <v>254</v>
      </c>
      <c r="D116" s="26">
        <v>13710.0</v>
      </c>
      <c r="E116" s="10" t="s">
        <v>42</v>
      </c>
      <c r="F116" s="12" t="s">
        <v>43</v>
      </c>
      <c r="G116" s="10" t="s">
        <v>246</v>
      </c>
    </row>
    <row r="117">
      <c r="A117" s="9">
        <v>46142.0</v>
      </c>
      <c r="B117" s="10" t="s">
        <v>49</v>
      </c>
      <c r="C117" s="10" t="s">
        <v>272</v>
      </c>
      <c r="D117" s="26">
        <v>20000.0</v>
      </c>
      <c r="E117" s="10" t="s">
        <v>273</v>
      </c>
      <c r="F117" s="12" t="s">
        <v>43</v>
      </c>
      <c r="G117" s="10" t="s">
        <v>274</v>
      </c>
    </row>
    <row r="118">
      <c r="A118" s="9">
        <v>46164.0</v>
      </c>
      <c r="B118" s="10" t="s">
        <v>36</v>
      </c>
      <c r="C118" s="10" t="s">
        <v>250</v>
      </c>
      <c r="D118" s="26">
        <v>1000.0</v>
      </c>
      <c r="E118" s="10" t="s">
        <v>252</v>
      </c>
      <c r="F118" s="12" t="s">
        <v>43</v>
      </c>
      <c r="G118" s="10" t="s">
        <v>245</v>
      </c>
    </row>
    <row r="119">
      <c r="A119" s="9">
        <v>46164.0</v>
      </c>
      <c r="B119" s="10" t="s">
        <v>36</v>
      </c>
      <c r="C119" s="10" t="s">
        <v>248</v>
      </c>
      <c r="D119" s="26">
        <v>14756.0</v>
      </c>
      <c r="E119" s="10" t="s">
        <v>249</v>
      </c>
      <c r="F119" s="12" t="s">
        <v>62</v>
      </c>
      <c r="G119" s="10" t="s">
        <v>246</v>
      </c>
    </row>
    <row r="120">
      <c r="A120" s="9">
        <v>46143.0</v>
      </c>
      <c r="B120" s="10" t="s">
        <v>77</v>
      </c>
      <c r="C120" s="10" t="s">
        <v>254</v>
      </c>
      <c r="D120" s="26">
        <v>17820.0</v>
      </c>
      <c r="E120" s="10" t="s">
        <v>42</v>
      </c>
      <c r="F120" s="12" t="s">
        <v>43</v>
      </c>
      <c r="G120" s="10" t="s">
        <v>287</v>
      </c>
    </row>
    <row r="121">
      <c r="A121" s="9">
        <v>46157.0</v>
      </c>
      <c r="B121" s="10" t="s">
        <v>45</v>
      </c>
      <c r="C121" s="10" t="s">
        <v>263</v>
      </c>
      <c r="D121" s="26">
        <v>1500.0</v>
      </c>
      <c r="E121" s="10" t="s">
        <v>33</v>
      </c>
      <c r="F121" s="12" t="s">
        <v>43</v>
      </c>
      <c r="G121" s="10" t="s">
        <v>246</v>
      </c>
    </row>
    <row r="122">
      <c r="A122" s="9">
        <v>46143.0</v>
      </c>
      <c r="B122" s="10" t="s">
        <v>45</v>
      </c>
      <c r="C122" s="10" t="s">
        <v>80</v>
      </c>
      <c r="D122" s="26">
        <v>5020.0</v>
      </c>
      <c r="E122" s="10" t="s">
        <v>42</v>
      </c>
      <c r="F122" s="12" t="s">
        <v>43</v>
      </c>
      <c r="G122" s="10" t="s">
        <v>290</v>
      </c>
    </row>
    <row r="123">
      <c r="A123" s="9">
        <v>46160.0</v>
      </c>
      <c r="B123" s="10" t="s">
        <v>36</v>
      </c>
      <c r="C123" s="10" t="s">
        <v>243</v>
      </c>
      <c r="D123" s="26">
        <v>4480.0</v>
      </c>
      <c r="E123" s="10" t="s">
        <v>244</v>
      </c>
      <c r="F123" s="12" t="s">
        <v>62</v>
      </c>
      <c r="G123" s="10" t="s">
        <v>245</v>
      </c>
    </row>
    <row r="124">
      <c r="A124" s="9">
        <v>46173.0</v>
      </c>
      <c r="B124" s="10" t="s">
        <v>49</v>
      </c>
      <c r="C124" s="10" t="s">
        <v>272</v>
      </c>
      <c r="D124" s="26">
        <v>20000.0</v>
      </c>
      <c r="E124" s="10" t="s">
        <v>273</v>
      </c>
      <c r="F124" s="12" t="s">
        <v>43</v>
      </c>
      <c r="G124" s="10" t="s">
        <v>114</v>
      </c>
    </row>
    <row r="125">
      <c r="A125" s="9">
        <v>46203.0</v>
      </c>
      <c r="B125" s="10" t="s">
        <v>36</v>
      </c>
      <c r="C125" s="10" t="s">
        <v>250</v>
      </c>
      <c r="D125" s="26">
        <v>1000.0</v>
      </c>
      <c r="E125" s="10" t="s">
        <v>252</v>
      </c>
      <c r="F125" s="12" t="s">
        <v>43</v>
      </c>
      <c r="G125" s="10" t="s">
        <v>245</v>
      </c>
    </row>
    <row r="126">
      <c r="A126" s="9">
        <v>46202.0</v>
      </c>
      <c r="B126" s="10" t="s">
        <v>36</v>
      </c>
      <c r="C126" s="10" t="s">
        <v>248</v>
      </c>
      <c r="D126" s="26">
        <v>20180.0</v>
      </c>
      <c r="E126" s="10" t="s">
        <v>249</v>
      </c>
      <c r="F126" s="12" t="s">
        <v>62</v>
      </c>
      <c r="G126" s="10" t="s">
        <v>245</v>
      </c>
    </row>
    <row r="127">
      <c r="A127" s="9">
        <v>46181.0</v>
      </c>
      <c r="B127" s="10" t="s">
        <v>45</v>
      </c>
      <c r="C127" s="10" t="s">
        <v>306</v>
      </c>
      <c r="D127" s="26">
        <v>1600.0</v>
      </c>
      <c r="E127" s="10" t="s">
        <v>33</v>
      </c>
      <c r="F127" s="12" t="s">
        <v>43</v>
      </c>
      <c r="G127" s="10" t="s">
        <v>246</v>
      </c>
    </row>
    <row r="128">
      <c r="A128" s="9">
        <v>46193.0</v>
      </c>
      <c r="B128" s="10" t="s">
        <v>36</v>
      </c>
      <c r="C128" s="10" t="s">
        <v>243</v>
      </c>
      <c r="D128" s="26">
        <v>4760.0</v>
      </c>
      <c r="E128" s="10" t="s">
        <v>244</v>
      </c>
      <c r="F128" s="12" t="s">
        <v>62</v>
      </c>
      <c r="G128" s="10" t="s">
        <v>245</v>
      </c>
    </row>
    <row r="129">
      <c r="A129" s="9">
        <v>46174.0</v>
      </c>
      <c r="B129" s="10" t="s">
        <v>77</v>
      </c>
      <c r="C129" s="10" t="s">
        <v>254</v>
      </c>
      <c r="D129" s="26">
        <v>12420.0</v>
      </c>
      <c r="E129" s="10" t="s">
        <v>42</v>
      </c>
      <c r="F129" s="12" t="s">
        <v>43</v>
      </c>
      <c r="G129" s="10" t="s">
        <v>317</v>
      </c>
    </row>
    <row r="130">
      <c r="A130" s="9">
        <v>46174.0</v>
      </c>
      <c r="B130" s="10" t="s">
        <v>45</v>
      </c>
      <c r="C130" s="10" t="s">
        <v>80</v>
      </c>
      <c r="D130" s="26">
        <v>11060.0</v>
      </c>
      <c r="E130" s="10" t="s">
        <v>42</v>
      </c>
      <c r="F130" s="12" t="s">
        <v>43</v>
      </c>
      <c r="G130" s="10" t="s">
        <v>319</v>
      </c>
    </row>
    <row r="131">
      <c r="A131" s="9">
        <v>46187.0</v>
      </c>
      <c r="B131" s="10" t="s">
        <v>60</v>
      </c>
      <c r="C131" s="10" t="s">
        <v>321</v>
      </c>
      <c r="D131" s="26">
        <v>15000.0</v>
      </c>
      <c r="E131" s="10" t="s">
        <v>323</v>
      </c>
      <c r="F131" s="12" t="s">
        <v>62</v>
      </c>
      <c r="G131" s="10" t="s">
        <v>246</v>
      </c>
    </row>
    <row r="132">
      <c r="A132" s="9">
        <v>46203.0</v>
      </c>
      <c r="B132" s="10" t="s">
        <v>49</v>
      </c>
      <c r="C132" s="10" t="s">
        <v>272</v>
      </c>
      <c r="D132" s="26">
        <v>20000.0</v>
      </c>
      <c r="E132" s="10" t="s">
        <v>273</v>
      </c>
      <c r="F132" s="12" t="s">
        <v>43</v>
      </c>
      <c r="G132" s="10" t="s">
        <v>114</v>
      </c>
    </row>
    <row r="133">
      <c r="A133" s="9">
        <v>46220.0</v>
      </c>
      <c r="B133" s="10" t="s">
        <v>36</v>
      </c>
      <c r="C133" s="10" t="s">
        <v>327</v>
      </c>
      <c r="D133" s="26">
        <v>1000.0</v>
      </c>
      <c r="E133" s="10" t="s">
        <v>328</v>
      </c>
      <c r="F133" s="12" t="s">
        <v>43</v>
      </c>
      <c r="G133" s="10" t="s">
        <v>246</v>
      </c>
    </row>
    <row r="134">
      <c r="A134" s="9">
        <v>46231.0</v>
      </c>
      <c r="B134" s="10" t="s">
        <v>36</v>
      </c>
      <c r="C134" s="10" t="s">
        <v>248</v>
      </c>
      <c r="D134" s="26">
        <v>23428.0</v>
      </c>
      <c r="E134" s="10" t="s">
        <v>249</v>
      </c>
      <c r="F134" s="12" t="s">
        <v>62</v>
      </c>
      <c r="G134" s="10" t="s">
        <v>246</v>
      </c>
    </row>
    <row r="135">
      <c r="A135" s="9">
        <v>46223.0</v>
      </c>
      <c r="B135" s="10" t="s">
        <v>36</v>
      </c>
      <c r="C135" s="10" t="s">
        <v>243</v>
      </c>
      <c r="D135" s="26">
        <v>4810.0</v>
      </c>
      <c r="E135" s="10" t="s">
        <v>244</v>
      </c>
      <c r="F135" s="12" t="s">
        <v>62</v>
      </c>
      <c r="G135" s="10" t="s">
        <v>246</v>
      </c>
    </row>
    <row r="136">
      <c r="A136" s="9">
        <v>46212.0</v>
      </c>
      <c r="B136" s="10" t="s">
        <v>45</v>
      </c>
      <c r="C136" s="10" t="s">
        <v>336</v>
      </c>
      <c r="D136" s="26">
        <v>1300.0</v>
      </c>
      <c r="E136" s="10" t="s">
        <v>33</v>
      </c>
      <c r="F136" s="12" t="s">
        <v>43</v>
      </c>
      <c r="G136" s="10" t="s">
        <v>246</v>
      </c>
    </row>
    <row r="137">
      <c r="A137" s="9">
        <v>46204.0</v>
      </c>
      <c r="B137" s="10" t="s">
        <v>45</v>
      </c>
      <c r="C137" s="10" t="s">
        <v>80</v>
      </c>
      <c r="D137" s="26">
        <v>13580.0</v>
      </c>
      <c r="E137" s="10" t="s">
        <v>42</v>
      </c>
      <c r="F137" s="12" t="s">
        <v>43</v>
      </c>
      <c r="G137" s="10" t="s">
        <v>246</v>
      </c>
    </row>
    <row r="138">
      <c r="A138" s="9">
        <v>46204.0</v>
      </c>
      <c r="B138" s="10" t="s">
        <v>77</v>
      </c>
      <c r="C138" s="10" t="s">
        <v>254</v>
      </c>
      <c r="D138" s="26">
        <v>13830.0</v>
      </c>
      <c r="E138" s="10" t="s">
        <v>42</v>
      </c>
      <c r="F138" s="12" t="s">
        <v>43</v>
      </c>
      <c r="G138" s="10" t="s">
        <v>343</v>
      </c>
    </row>
    <row r="139">
      <c r="A139" s="9">
        <v>46204.0</v>
      </c>
      <c r="B139" s="10" t="s">
        <v>45</v>
      </c>
      <c r="C139" s="10" t="s">
        <v>263</v>
      </c>
      <c r="D139" s="26">
        <v>3250.0</v>
      </c>
      <c r="E139" s="10" t="s">
        <v>33</v>
      </c>
      <c r="F139" s="12" t="s">
        <v>43</v>
      </c>
      <c r="G139" s="10" t="s">
        <v>347</v>
      </c>
    </row>
    <row r="140">
      <c r="A140" s="9">
        <v>46218.0</v>
      </c>
      <c r="B140" s="10" t="s">
        <v>140</v>
      </c>
      <c r="C140" s="10" t="s">
        <v>348</v>
      </c>
      <c r="D140" s="26">
        <v>10000.0</v>
      </c>
      <c r="E140" s="10" t="s">
        <v>328</v>
      </c>
      <c r="F140" s="12" t="s">
        <v>43</v>
      </c>
      <c r="G140" s="10" t="s">
        <v>246</v>
      </c>
    </row>
    <row r="141">
      <c r="A141" s="27"/>
      <c r="B141" s="33"/>
      <c r="C141" s="21" t="s">
        <v>350</v>
      </c>
      <c r="D141" s="31">
        <f>SUM(D2:D140)</f>
        <v>1127578</v>
      </c>
      <c r="E141" s="33"/>
      <c r="F141" s="28"/>
      <c r="G141" s="33"/>
    </row>
    <row r="142">
      <c r="A142" s="34"/>
      <c r="B142" s="35"/>
      <c r="D142" s="37"/>
      <c r="E142" s="35"/>
      <c r="F142" s="36"/>
    </row>
    <row r="143">
      <c r="A143" s="34"/>
      <c r="B143" s="35"/>
      <c r="D143" s="37"/>
      <c r="E143" s="35"/>
      <c r="F143" s="36"/>
    </row>
    <row r="144">
      <c r="A144" s="34"/>
      <c r="B144" s="35"/>
      <c r="D144" s="37"/>
      <c r="E144" s="35"/>
      <c r="F144" s="36"/>
    </row>
    <row r="145">
      <c r="A145" s="34"/>
      <c r="B145" s="35"/>
      <c r="D145" s="37"/>
      <c r="E145" s="35"/>
      <c r="F145" s="36"/>
    </row>
    <row r="146">
      <c r="A146" s="34"/>
      <c r="B146" s="35"/>
      <c r="D146" s="37"/>
      <c r="E146" s="35"/>
      <c r="F146" s="36"/>
    </row>
    <row r="147">
      <c r="A147" s="34"/>
      <c r="B147" s="35"/>
      <c r="D147" s="37"/>
      <c r="E147" s="35"/>
      <c r="F147" s="36"/>
    </row>
    <row r="148">
      <c r="A148" s="34"/>
      <c r="B148" s="35"/>
      <c r="D148" s="37"/>
      <c r="E148" s="35"/>
      <c r="F148" s="36"/>
    </row>
  </sheetData>
  <dataValidations>
    <dataValidation type="list" allowBlank="1" sqref="E2:E148">
      <formula1>"Atif,Haseeb,Hamza,Noman,PTCL,Vendor,Office,Other,Plaza Management,Ali,Tayyab,IESCO"</formula1>
    </dataValidation>
    <dataValidation type="list" allowBlank="1" sqref="B2:B148">
      <formula1>"Utilities,Office Supplies,Salaries &amp; Wages,Marketing &amp; Media,Rent &amp; Maintenance,Travel &amp; Meals,Miscellaneous"</formula1>
    </dataValidation>
    <dataValidation type="list" allowBlank="1" sqref="F2:F148">
      <formula1>"Cash,Bank Transfer,Online,Cheque"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20.14"/>
    <col customWidth="1" min="3" max="3" width="23.0"/>
    <col customWidth="1" min="4" max="4" width="20.14"/>
    <col customWidth="1" min="5" max="5" width="37.29"/>
  </cols>
  <sheetData>
    <row r="1">
      <c r="A1" s="6" t="s">
        <v>15</v>
      </c>
      <c r="B1" s="6" t="s">
        <v>83</v>
      </c>
      <c r="C1" s="6" t="s">
        <v>84</v>
      </c>
      <c r="D1" s="6" t="s">
        <v>19</v>
      </c>
      <c r="E1" s="6" t="s">
        <v>85</v>
      </c>
    </row>
    <row r="2">
      <c r="A2" s="9">
        <v>45659.0</v>
      </c>
      <c r="B2" s="10" t="s">
        <v>89</v>
      </c>
      <c r="C2" s="12" t="s">
        <v>95</v>
      </c>
      <c r="D2" s="11">
        <v>527000.0</v>
      </c>
      <c r="E2" s="10" t="s">
        <v>97</v>
      </c>
    </row>
    <row r="3">
      <c r="A3" s="9">
        <v>45667.0</v>
      </c>
      <c r="B3" s="10" t="s">
        <v>89</v>
      </c>
      <c r="C3" s="12" t="s">
        <v>101</v>
      </c>
      <c r="D3" s="11">
        <v>150000.0</v>
      </c>
      <c r="E3" s="10" t="s">
        <v>104</v>
      </c>
    </row>
    <row r="4">
      <c r="A4" s="9">
        <v>45672.0</v>
      </c>
      <c r="B4" s="10" t="s">
        <v>56</v>
      </c>
      <c r="C4" s="12" t="s">
        <v>106</v>
      </c>
      <c r="D4" s="11">
        <v>100000.0</v>
      </c>
      <c r="E4" s="10" t="s">
        <v>107</v>
      </c>
    </row>
    <row r="5">
      <c r="A5" s="9">
        <v>45677.0</v>
      </c>
      <c r="B5" s="10" t="s">
        <v>109</v>
      </c>
      <c r="C5" s="12" t="s">
        <v>106</v>
      </c>
      <c r="D5" s="11">
        <v>100000.0</v>
      </c>
      <c r="E5" s="10" t="s">
        <v>111</v>
      </c>
    </row>
    <row r="6">
      <c r="A6" s="9">
        <v>45682.0</v>
      </c>
      <c r="B6" s="10" t="s">
        <v>89</v>
      </c>
      <c r="C6" s="12" t="s">
        <v>101</v>
      </c>
      <c r="D6" s="11">
        <v>50000.0</v>
      </c>
      <c r="E6" s="10" t="s">
        <v>104</v>
      </c>
    </row>
    <row r="7">
      <c r="A7" s="9">
        <v>45687.0</v>
      </c>
      <c r="B7" s="10" t="s">
        <v>89</v>
      </c>
      <c r="C7" s="12" t="s">
        <v>101</v>
      </c>
      <c r="D7" s="11">
        <v>30000.0</v>
      </c>
      <c r="E7" s="10" t="s">
        <v>104</v>
      </c>
    </row>
    <row r="8">
      <c r="A8" s="9">
        <v>45713.0</v>
      </c>
      <c r="B8" s="10" t="s">
        <v>109</v>
      </c>
      <c r="C8" s="12" t="s">
        <v>106</v>
      </c>
      <c r="D8" s="11">
        <v>50000.0</v>
      </c>
      <c r="E8" s="10" t="s">
        <v>117</v>
      </c>
    </row>
    <row r="9">
      <c r="A9" s="9">
        <v>45688.0</v>
      </c>
      <c r="B9" s="10" t="s">
        <v>109</v>
      </c>
      <c r="C9" s="12" t="s">
        <v>119</v>
      </c>
      <c r="D9" s="11">
        <v>25450.0</v>
      </c>
      <c r="E9" s="10" t="s">
        <v>120</v>
      </c>
    </row>
    <row r="10">
      <c r="A10" s="9">
        <v>45747.0</v>
      </c>
      <c r="B10" s="10" t="s">
        <v>56</v>
      </c>
      <c r="C10" s="24" t="s">
        <v>121</v>
      </c>
      <c r="D10" s="25">
        <v>46248.0</v>
      </c>
      <c r="E10" s="10" t="s">
        <v>126</v>
      </c>
    </row>
    <row r="11">
      <c r="A11" s="9">
        <v>45747.0</v>
      </c>
      <c r="B11" s="10" t="s">
        <v>109</v>
      </c>
      <c r="C11" s="12" t="s">
        <v>121</v>
      </c>
      <c r="D11" s="11">
        <v>46248.0</v>
      </c>
      <c r="E11" s="10" t="s">
        <v>126</v>
      </c>
    </row>
    <row r="12">
      <c r="A12" s="9">
        <v>45790.0</v>
      </c>
      <c r="B12" s="10" t="s">
        <v>109</v>
      </c>
      <c r="C12" s="12" t="s">
        <v>129</v>
      </c>
      <c r="D12" s="11">
        <v>30000.0</v>
      </c>
      <c r="E12" s="10" t="s">
        <v>130</v>
      </c>
    </row>
    <row r="13">
      <c r="A13" s="9">
        <v>45796.0</v>
      </c>
      <c r="B13" s="10" t="s">
        <v>109</v>
      </c>
      <c r="C13" s="12" t="s">
        <v>129</v>
      </c>
      <c r="D13" s="11">
        <v>10000.0</v>
      </c>
      <c r="E13" s="10" t="s">
        <v>132</v>
      </c>
    </row>
    <row r="14">
      <c r="A14" s="9">
        <v>45796.0</v>
      </c>
      <c r="B14" s="10" t="s">
        <v>109</v>
      </c>
      <c r="C14" s="12" t="s">
        <v>129</v>
      </c>
      <c r="D14" s="11">
        <v>35000.0</v>
      </c>
      <c r="E14" s="10" t="s">
        <v>134</v>
      </c>
    </row>
    <row r="15">
      <c r="A15" s="9">
        <v>45812.0</v>
      </c>
      <c r="B15" s="10" t="s">
        <v>56</v>
      </c>
      <c r="C15" s="12" t="s">
        <v>135</v>
      </c>
      <c r="D15" s="11">
        <v>20000.0</v>
      </c>
      <c r="E15" s="10" t="s">
        <v>136</v>
      </c>
    </row>
    <row r="16">
      <c r="A16" s="9">
        <v>45814.0</v>
      </c>
      <c r="B16" s="10" t="s">
        <v>109</v>
      </c>
      <c r="C16" s="12" t="s">
        <v>135</v>
      </c>
      <c r="D16" s="11">
        <v>20000.0</v>
      </c>
      <c r="E16" s="10" t="s">
        <v>137</v>
      </c>
    </row>
    <row r="17">
      <c r="A17" s="9">
        <v>45824.0</v>
      </c>
      <c r="B17" s="10" t="s">
        <v>109</v>
      </c>
      <c r="C17" s="12" t="s">
        <v>135</v>
      </c>
      <c r="D17" s="11">
        <v>43000.0</v>
      </c>
      <c r="E17" s="10" t="s">
        <v>139</v>
      </c>
    </row>
    <row r="18">
      <c r="A18" s="9">
        <v>45862.0</v>
      </c>
      <c r="B18" s="10" t="s">
        <v>109</v>
      </c>
      <c r="C18" s="12" t="s">
        <v>106</v>
      </c>
      <c r="D18" s="11">
        <v>125000.0</v>
      </c>
      <c r="E18" s="10" t="s">
        <v>142</v>
      </c>
    </row>
    <row r="19">
      <c r="A19" s="9">
        <v>45862.0</v>
      </c>
      <c r="B19" s="10" t="s">
        <v>109</v>
      </c>
      <c r="C19" s="12" t="s">
        <v>106</v>
      </c>
      <c r="D19" s="11">
        <v>15000.0</v>
      </c>
      <c r="E19" s="10" t="s">
        <v>144</v>
      </c>
    </row>
    <row r="20">
      <c r="A20" s="9">
        <v>45880.0</v>
      </c>
      <c r="B20" s="10" t="s">
        <v>56</v>
      </c>
      <c r="C20" s="12" t="s">
        <v>106</v>
      </c>
      <c r="D20" s="11">
        <v>2000.0</v>
      </c>
      <c r="E20" s="10" t="s">
        <v>146</v>
      </c>
    </row>
    <row r="21">
      <c r="A21" s="9">
        <v>45944.0</v>
      </c>
      <c r="B21" s="10" t="s">
        <v>109</v>
      </c>
      <c r="C21" s="12" t="s">
        <v>135</v>
      </c>
      <c r="D21" s="11">
        <v>20000.0</v>
      </c>
      <c r="E21" s="10" t="s">
        <v>149</v>
      </c>
    </row>
    <row r="22">
      <c r="A22" s="9">
        <v>45956.0</v>
      </c>
      <c r="B22" s="10" t="s">
        <v>109</v>
      </c>
      <c r="C22" s="12" t="s">
        <v>135</v>
      </c>
      <c r="D22" s="11">
        <v>20000.0</v>
      </c>
      <c r="E22" s="10" t="s">
        <v>150</v>
      </c>
    </row>
    <row r="23">
      <c r="A23" s="9">
        <v>45959.0</v>
      </c>
      <c r="B23" s="10" t="s">
        <v>56</v>
      </c>
      <c r="C23" s="12" t="s">
        <v>135</v>
      </c>
      <c r="D23" s="11">
        <v>30000.0</v>
      </c>
      <c r="E23" s="10" t="s">
        <v>152</v>
      </c>
    </row>
    <row r="24">
      <c r="A24" s="9">
        <v>45969.0</v>
      </c>
      <c r="B24" s="10" t="s">
        <v>109</v>
      </c>
      <c r="C24" s="12" t="s">
        <v>135</v>
      </c>
      <c r="D24" s="11">
        <v>12000.0</v>
      </c>
      <c r="E24" s="10" t="s">
        <v>153</v>
      </c>
    </row>
    <row r="25">
      <c r="A25" s="9">
        <v>46009.0</v>
      </c>
      <c r="B25" s="10" t="s">
        <v>109</v>
      </c>
      <c r="C25" s="12" t="s">
        <v>106</v>
      </c>
      <c r="D25" s="11">
        <v>16000.0</v>
      </c>
      <c r="E25" s="10" t="s">
        <v>155</v>
      </c>
    </row>
    <row r="26">
      <c r="A26" s="9">
        <v>46011.0</v>
      </c>
      <c r="B26" s="10" t="s">
        <v>109</v>
      </c>
      <c r="C26" s="12" t="s">
        <v>106</v>
      </c>
      <c r="D26" s="11">
        <v>10000.0</v>
      </c>
      <c r="E26" s="10" t="s">
        <v>158</v>
      </c>
    </row>
    <row r="27">
      <c r="A27" s="9">
        <v>46030.0</v>
      </c>
      <c r="B27" s="10" t="s">
        <v>56</v>
      </c>
      <c r="C27" s="12" t="s">
        <v>106</v>
      </c>
      <c r="D27" s="26">
        <v>4000.0</v>
      </c>
      <c r="E27" s="10" t="s">
        <v>160</v>
      </c>
    </row>
    <row r="28">
      <c r="A28" s="9">
        <v>46030.0</v>
      </c>
      <c r="B28" s="10" t="s">
        <v>109</v>
      </c>
      <c r="C28" s="12" t="s">
        <v>106</v>
      </c>
      <c r="D28" s="26">
        <v>11000.0</v>
      </c>
      <c r="E28" s="10" t="s">
        <v>160</v>
      </c>
    </row>
    <row r="29">
      <c r="A29" s="9">
        <v>46063.0</v>
      </c>
      <c r="B29" s="10" t="s">
        <v>109</v>
      </c>
      <c r="C29" s="12" t="s">
        <v>161</v>
      </c>
      <c r="D29" s="26">
        <v>1800.0</v>
      </c>
      <c r="E29" s="10" t="s">
        <v>162</v>
      </c>
    </row>
    <row r="30">
      <c r="A30" s="9">
        <v>46142.0</v>
      </c>
      <c r="B30" s="10" t="s">
        <v>56</v>
      </c>
      <c r="C30" s="12" t="s">
        <v>106</v>
      </c>
      <c r="D30" s="26">
        <v>50000.0</v>
      </c>
      <c r="E30" s="10" t="s">
        <v>163</v>
      </c>
    </row>
    <row r="31">
      <c r="A31" s="9">
        <v>46172.0</v>
      </c>
      <c r="B31" s="10" t="s">
        <v>56</v>
      </c>
      <c r="C31" s="12" t="s">
        <v>106</v>
      </c>
      <c r="D31" s="26">
        <v>11000.0</v>
      </c>
      <c r="E31" s="10" t="s">
        <v>164</v>
      </c>
    </row>
    <row r="32">
      <c r="A32" s="9">
        <v>46172.0</v>
      </c>
      <c r="B32" s="10" t="s">
        <v>109</v>
      </c>
      <c r="C32" s="12" t="s">
        <v>106</v>
      </c>
      <c r="D32" s="26">
        <v>24000.0</v>
      </c>
      <c r="E32" s="10" t="s">
        <v>164</v>
      </c>
    </row>
    <row r="33">
      <c r="A33" s="9">
        <v>46187.0</v>
      </c>
      <c r="B33" s="10" t="s">
        <v>109</v>
      </c>
      <c r="C33" s="12" t="s">
        <v>161</v>
      </c>
      <c r="D33" s="26">
        <v>9000.0</v>
      </c>
      <c r="E33" s="10" t="s">
        <v>166</v>
      </c>
    </row>
    <row r="34">
      <c r="A34" s="9">
        <v>46246.0</v>
      </c>
      <c r="B34" s="10" t="s">
        <v>109</v>
      </c>
      <c r="C34" s="12" t="s">
        <v>161</v>
      </c>
      <c r="D34" s="26">
        <v>10000.0</v>
      </c>
      <c r="E34" s="10" t="s">
        <v>171</v>
      </c>
    </row>
    <row r="35">
      <c r="A35" s="9">
        <v>46247.0</v>
      </c>
      <c r="B35" s="10" t="s">
        <v>56</v>
      </c>
      <c r="C35" s="12" t="s">
        <v>106</v>
      </c>
      <c r="D35" s="26">
        <v>30000.0</v>
      </c>
      <c r="E35" s="10" t="s">
        <v>174</v>
      </c>
    </row>
    <row r="36">
      <c r="A36" s="9">
        <v>46247.0</v>
      </c>
      <c r="B36" s="10" t="s">
        <v>109</v>
      </c>
      <c r="C36" s="12" t="s">
        <v>106</v>
      </c>
      <c r="D36" s="26">
        <v>29500.0</v>
      </c>
      <c r="E36" s="10" t="s">
        <v>174</v>
      </c>
    </row>
    <row r="37">
      <c r="A37" s="27"/>
      <c r="B37" s="21" t="s">
        <v>181</v>
      </c>
      <c r="C37" s="28"/>
      <c r="D37" s="31">
        <f>SUM(D2:D36)</f>
        <v>1713246</v>
      </c>
      <c r="E37" s="33"/>
    </row>
    <row r="38">
      <c r="A38" s="34"/>
      <c r="B38" s="35"/>
      <c r="C38" s="36"/>
      <c r="D38" s="37"/>
    </row>
    <row r="39">
      <c r="A39" s="34"/>
      <c r="B39" s="35"/>
      <c r="C39" s="36"/>
      <c r="D39" s="37"/>
    </row>
    <row r="40">
      <c r="A40" s="34"/>
      <c r="B40" s="35"/>
      <c r="C40" s="36"/>
      <c r="D40" s="37"/>
    </row>
    <row r="41">
      <c r="A41" s="34"/>
      <c r="B41" s="35"/>
      <c r="C41" s="36"/>
      <c r="D41" s="37"/>
    </row>
    <row r="42">
      <c r="A42" s="34"/>
      <c r="B42" s="35"/>
      <c r="C42" s="36"/>
      <c r="D42" s="37"/>
    </row>
    <row r="43">
      <c r="A43" s="34"/>
      <c r="B43" s="35"/>
      <c r="C43" s="36"/>
      <c r="D43" s="37"/>
    </row>
    <row r="44">
      <c r="A44" s="34"/>
      <c r="B44" s="35"/>
      <c r="C44" s="36"/>
      <c r="D44" s="37"/>
    </row>
    <row r="45">
      <c r="A45" s="34"/>
      <c r="B45" s="35"/>
      <c r="C45" s="36"/>
      <c r="D45" s="37"/>
    </row>
    <row r="46">
      <c r="A46" s="34"/>
      <c r="B46" s="35"/>
      <c r="C46" s="36"/>
      <c r="D46" s="37"/>
    </row>
    <row r="47">
      <c r="A47" s="34"/>
      <c r="B47" s="35"/>
      <c r="C47" s="36"/>
      <c r="D47" s="37"/>
    </row>
    <row r="48">
      <c r="A48" s="34"/>
      <c r="B48" s="35"/>
      <c r="C48" s="36"/>
      <c r="D48" s="37"/>
    </row>
    <row r="49">
      <c r="A49" s="34"/>
      <c r="B49" s="35"/>
      <c r="C49" s="36"/>
      <c r="D49" s="37"/>
    </row>
    <row r="50">
      <c r="A50" s="34"/>
      <c r="B50" s="35"/>
      <c r="C50" s="36"/>
      <c r="D50" s="37"/>
    </row>
    <row r="51">
      <c r="A51" s="34"/>
      <c r="B51" s="35"/>
      <c r="C51" s="36"/>
      <c r="D51" s="37"/>
    </row>
    <row r="52">
      <c r="A52" s="34"/>
      <c r="B52" s="35"/>
      <c r="C52" s="36"/>
      <c r="D52" s="37"/>
    </row>
    <row r="53">
      <c r="A53" s="34"/>
      <c r="B53" s="35"/>
      <c r="C53" s="36"/>
      <c r="D53" s="37"/>
    </row>
    <row r="54">
      <c r="A54" s="34"/>
      <c r="B54" s="35"/>
      <c r="C54" s="36"/>
      <c r="D54" s="37"/>
    </row>
    <row r="55">
      <c r="A55" s="34"/>
      <c r="B55" s="35"/>
      <c r="C55" s="36"/>
      <c r="D55" s="37"/>
    </row>
    <row r="56">
      <c r="A56" s="34"/>
      <c r="B56" s="35"/>
      <c r="C56" s="36"/>
      <c r="D56" s="37"/>
    </row>
    <row r="57">
      <c r="A57" s="34"/>
      <c r="B57" s="35"/>
      <c r="C57" s="36"/>
      <c r="D57" s="37"/>
    </row>
    <row r="58">
      <c r="A58" s="34"/>
      <c r="B58" s="35"/>
      <c r="C58" s="36"/>
      <c r="D58" s="37"/>
    </row>
    <row r="59">
      <c r="A59" s="34"/>
      <c r="B59" s="35"/>
      <c r="C59" s="36"/>
      <c r="D59" s="37"/>
    </row>
    <row r="60">
      <c r="A60" s="34"/>
      <c r="B60" s="35"/>
      <c r="C60" s="36"/>
      <c r="D60" s="37"/>
    </row>
    <row r="61">
      <c r="A61" s="34"/>
      <c r="B61" s="35"/>
      <c r="C61" s="36"/>
      <c r="D61" s="37"/>
    </row>
    <row r="62">
      <c r="A62" s="34"/>
      <c r="B62" s="35"/>
      <c r="C62" s="36"/>
      <c r="D62" s="37"/>
    </row>
    <row r="63">
      <c r="A63" s="34"/>
      <c r="B63" s="35"/>
      <c r="C63" s="36"/>
      <c r="D63" s="37"/>
    </row>
    <row r="64">
      <c r="A64" s="34"/>
      <c r="B64" s="35"/>
      <c r="C64" s="36"/>
      <c r="D64" s="37"/>
    </row>
    <row r="65">
      <c r="A65" s="34"/>
      <c r="B65" s="35"/>
      <c r="C65" s="36"/>
      <c r="D65" s="37"/>
    </row>
    <row r="66">
      <c r="A66" s="34"/>
      <c r="B66" s="35"/>
      <c r="C66" s="36"/>
      <c r="D66" s="37"/>
    </row>
    <row r="67">
      <c r="A67" s="34"/>
      <c r="B67" s="35"/>
      <c r="C67" s="36"/>
      <c r="D67" s="37"/>
    </row>
    <row r="68">
      <c r="A68" s="34"/>
      <c r="B68" s="35"/>
      <c r="C68" s="36"/>
      <c r="D68" s="37"/>
    </row>
    <row r="69">
      <c r="A69" s="34"/>
      <c r="B69" s="35"/>
      <c r="C69" s="36"/>
      <c r="D69" s="37"/>
    </row>
    <row r="70">
      <c r="A70" s="34"/>
      <c r="B70" s="35"/>
      <c r="C70" s="36"/>
      <c r="D70" s="37"/>
    </row>
    <row r="71">
      <c r="A71" s="34"/>
      <c r="B71" s="35"/>
      <c r="C71" s="36"/>
      <c r="D71" s="37"/>
    </row>
    <row r="72">
      <c r="A72" s="34"/>
      <c r="B72" s="35"/>
      <c r="C72" s="36"/>
      <c r="D72" s="37"/>
    </row>
    <row r="73">
      <c r="A73" s="34"/>
      <c r="B73" s="35"/>
      <c r="C73" s="36"/>
      <c r="D73" s="37"/>
    </row>
    <row r="74">
      <c r="A74" s="34"/>
      <c r="B74" s="35"/>
      <c r="C74" s="36"/>
      <c r="D74" s="37"/>
    </row>
    <row r="75">
      <c r="A75" s="34"/>
      <c r="B75" s="35"/>
      <c r="C75" s="36"/>
      <c r="D75" s="37"/>
    </row>
    <row r="76">
      <c r="A76" s="34"/>
      <c r="B76" s="35"/>
      <c r="C76" s="36"/>
      <c r="D76" s="37"/>
    </row>
    <row r="77">
      <c r="A77" s="34"/>
      <c r="B77" s="35"/>
      <c r="C77" s="36"/>
      <c r="D77" s="37"/>
    </row>
    <row r="78">
      <c r="A78" s="34"/>
      <c r="B78" s="35"/>
      <c r="C78" s="36"/>
      <c r="D78" s="37"/>
    </row>
    <row r="79">
      <c r="A79" s="34"/>
      <c r="B79" s="35"/>
      <c r="C79" s="36"/>
      <c r="D79" s="37"/>
    </row>
    <row r="80">
      <c r="A80" s="34"/>
      <c r="B80" s="35"/>
      <c r="C80" s="36"/>
      <c r="D80" s="37"/>
    </row>
    <row r="81">
      <c r="A81" s="34"/>
      <c r="B81" s="35"/>
      <c r="C81" s="36"/>
      <c r="D81" s="37"/>
    </row>
    <row r="82">
      <c r="A82" s="34"/>
      <c r="B82" s="35"/>
      <c r="C82" s="36"/>
      <c r="D82" s="37"/>
    </row>
    <row r="83">
      <c r="A83" s="34"/>
      <c r="B83" s="35"/>
      <c r="C83" s="36"/>
      <c r="D83" s="37"/>
    </row>
    <row r="84">
      <c r="A84" s="34"/>
      <c r="B84" s="35"/>
      <c r="C84" s="36"/>
      <c r="D84" s="37"/>
    </row>
    <row r="85">
      <c r="A85" s="34"/>
      <c r="B85" s="35"/>
      <c r="C85" s="36"/>
      <c r="D85" s="37"/>
    </row>
    <row r="86">
      <c r="A86" s="34"/>
      <c r="B86" s="35"/>
      <c r="C86" s="36"/>
      <c r="D86" s="37"/>
    </row>
    <row r="87">
      <c r="A87" s="34"/>
      <c r="B87" s="35"/>
      <c r="C87" s="36"/>
      <c r="D87" s="37"/>
    </row>
    <row r="88">
      <c r="A88" s="34"/>
      <c r="B88" s="35"/>
      <c r="C88" s="36"/>
      <c r="D88" s="37"/>
    </row>
    <row r="89">
      <c r="A89" s="34"/>
      <c r="B89" s="35"/>
      <c r="C89" s="36"/>
      <c r="D89" s="37"/>
    </row>
    <row r="90">
      <c r="A90" s="34"/>
      <c r="B90" s="35"/>
      <c r="C90" s="36"/>
      <c r="D90" s="37"/>
    </row>
    <row r="91">
      <c r="A91" s="34"/>
      <c r="B91" s="35"/>
      <c r="C91" s="36"/>
      <c r="D91" s="37"/>
    </row>
    <row r="92">
      <c r="A92" s="34"/>
      <c r="B92" s="35"/>
      <c r="C92" s="36"/>
      <c r="D92" s="37"/>
    </row>
    <row r="93">
      <c r="A93" s="34"/>
      <c r="B93" s="35"/>
      <c r="C93" s="36"/>
      <c r="D93" s="37"/>
    </row>
    <row r="94">
      <c r="A94" s="34"/>
      <c r="B94" s="35"/>
      <c r="C94" s="36"/>
      <c r="D94" s="37"/>
    </row>
    <row r="95">
      <c r="A95" s="34"/>
      <c r="B95" s="35"/>
      <c r="C95" s="36"/>
      <c r="D95" s="37"/>
    </row>
    <row r="96">
      <c r="A96" s="34"/>
      <c r="B96" s="35"/>
      <c r="C96" s="36"/>
      <c r="D96" s="37"/>
    </row>
    <row r="97">
      <c r="A97" s="34"/>
      <c r="B97" s="35"/>
      <c r="C97" s="36"/>
      <c r="D97" s="37"/>
    </row>
    <row r="98">
      <c r="A98" s="34"/>
      <c r="B98" s="35"/>
      <c r="C98" s="36"/>
      <c r="D98" s="37"/>
    </row>
    <row r="99">
      <c r="A99" s="34"/>
      <c r="B99" s="35"/>
      <c r="C99" s="36"/>
      <c r="D99" s="37"/>
    </row>
    <row r="100">
      <c r="A100" s="34"/>
      <c r="B100" s="35"/>
      <c r="C100" s="36"/>
      <c r="D100" s="37"/>
    </row>
    <row r="101">
      <c r="A101" s="34"/>
      <c r="B101" s="35"/>
      <c r="C101" s="36"/>
      <c r="D101" s="37"/>
    </row>
    <row r="102">
      <c r="A102" s="34"/>
      <c r="B102" s="35"/>
      <c r="C102" s="36"/>
      <c r="D102" s="37"/>
    </row>
    <row r="103">
      <c r="A103" s="34"/>
      <c r="B103" s="35"/>
      <c r="C103" s="36"/>
      <c r="D103" s="37"/>
    </row>
    <row r="104">
      <c r="A104" s="34"/>
      <c r="B104" s="35"/>
      <c r="C104" s="36"/>
      <c r="D104" s="37"/>
    </row>
    <row r="105">
      <c r="A105" s="34"/>
      <c r="B105" s="35"/>
      <c r="C105" s="36"/>
      <c r="D105" s="37"/>
    </row>
    <row r="106">
      <c r="A106" s="34"/>
      <c r="B106" s="35"/>
      <c r="C106" s="36"/>
      <c r="D106" s="37"/>
    </row>
    <row r="107">
      <c r="A107" s="34"/>
      <c r="B107" s="35"/>
      <c r="C107" s="36"/>
      <c r="D107" s="37"/>
    </row>
    <row r="108">
      <c r="A108" s="34"/>
      <c r="B108" s="35"/>
      <c r="C108" s="36"/>
      <c r="D108" s="37"/>
    </row>
    <row r="109">
      <c r="A109" s="34"/>
      <c r="B109" s="35"/>
      <c r="C109" s="36"/>
      <c r="D109" s="37"/>
    </row>
    <row r="110">
      <c r="A110" s="34"/>
      <c r="B110" s="35"/>
      <c r="C110" s="36"/>
      <c r="D110" s="37"/>
    </row>
  </sheetData>
  <dataValidations>
    <dataValidation type="list" allowBlank="1" sqref="B2:B9 B11:B110">
      <formula1>"Kamal,Zeeshan,Mughees"</formula1>
    </dataValidation>
    <dataValidation type="list" allowBlank="1" sqref="C2:C9 C11:C110">
      <formula1>"Capital Advance,Partner Drawing,Profit Distribution,Settlement,Receipt,Partner Transfer,Partner Disbursement,Inter-Partner Transfer"</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12.43"/>
    <col customWidth="1" min="4" max="5" width="17.14"/>
    <col customWidth="1" min="6" max="6" width="18.57"/>
    <col customWidth="1" min="7" max="7" width="21.14"/>
    <col customWidth="1" min="8" max="8" width="20.57"/>
    <col customWidth="1" min="9" max="9" width="16.86"/>
    <col customWidth="1" min="10" max="10" width="8.86"/>
    <col customWidth="1" min="11" max="11" width="14.43"/>
    <col customWidth="1" min="12" max="12" width="13.43"/>
    <col customWidth="1" min="13" max="15" width="8.86"/>
    <col customWidth="1" min="16" max="16" width="15.14"/>
    <col customWidth="1" min="17" max="26" width="8.86"/>
  </cols>
  <sheetData>
    <row r="1" ht="14.2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ht="14.25"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ht="14.25" customHeight="1">
      <c r="A3" s="41"/>
      <c r="B3" s="41"/>
      <c r="C3" s="41"/>
      <c r="D3" s="41"/>
      <c r="E3" s="41"/>
      <c r="F3" s="41"/>
      <c r="G3" s="41"/>
      <c r="H3" s="41"/>
      <c r="I3" s="41"/>
      <c r="J3" s="41"/>
      <c r="K3" s="41"/>
      <c r="L3" s="41"/>
      <c r="M3" s="41"/>
      <c r="N3" s="41"/>
      <c r="O3" s="41"/>
      <c r="P3" s="41"/>
      <c r="Q3" s="41"/>
      <c r="R3" s="41"/>
      <c r="S3" s="41"/>
      <c r="T3" s="41"/>
      <c r="U3" s="41"/>
      <c r="V3" s="41"/>
      <c r="W3" s="41"/>
      <c r="X3" s="41"/>
      <c r="Y3" s="41"/>
      <c r="Z3" s="41"/>
    </row>
    <row r="4" ht="14.25" customHeight="1">
      <c r="A4" s="41"/>
      <c r="B4" s="41"/>
      <c r="C4" s="41"/>
      <c r="D4" s="41"/>
      <c r="E4" s="42" t="s">
        <v>285</v>
      </c>
      <c r="F4" s="43"/>
      <c r="G4" s="43"/>
      <c r="H4" s="44"/>
      <c r="I4" s="41"/>
      <c r="J4" s="41"/>
      <c r="K4" s="41"/>
      <c r="L4" s="41"/>
      <c r="M4" s="41"/>
      <c r="N4" s="41"/>
      <c r="O4" s="41"/>
      <c r="P4" s="41"/>
      <c r="Q4" s="41"/>
      <c r="R4" s="41"/>
      <c r="S4" s="41"/>
      <c r="T4" s="41"/>
      <c r="U4" s="41"/>
      <c r="V4" s="41"/>
      <c r="W4" s="41"/>
      <c r="X4" s="41"/>
      <c r="Y4" s="41"/>
      <c r="Z4" s="41"/>
    </row>
    <row r="5" ht="14.25" customHeight="1">
      <c r="A5" s="41"/>
      <c r="B5" s="41"/>
      <c r="C5" s="41"/>
      <c r="D5" s="41"/>
      <c r="E5" s="45"/>
      <c r="F5" s="46"/>
      <c r="G5" s="46"/>
      <c r="H5" s="47"/>
      <c r="I5" s="41"/>
      <c r="J5" s="41"/>
      <c r="K5" s="41"/>
      <c r="L5" s="41"/>
      <c r="M5" s="41"/>
      <c r="N5" s="41"/>
      <c r="O5" s="41"/>
      <c r="P5" s="41"/>
      <c r="Q5" s="41"/>
      <c r="R5" s="41"/>
      <c r="S5" s="41"/>
      <c r="T5" s="41"/>
      <c r="U5" s="41"/>
      <c r="V5" s="41"/>
      <c r="W5" s="41"/>
      <c r="X5" s="41"/>
      <c r="Y5" s="41"/>
      <c r="Z5" s="41"/>
    </row>
    <row r="6" ht="14.25" customHeight="1">
      <c r="A6" s="41"/>
      <c r="B6" s="41"/>
      <c r="C6" s="41"/>
      <c r="D6" s="41"/>
      <c r="E6" s="41"/>
      <c r="F6" s="41"/>
      <c r="G6" s="41"/>
      <c r="H6" s="41"/>
      <c r="I6" s="41"/>
      <c r="J6" s="41"/>
      <c r="K6" s="41"/>
      <c r="L6" s="41"/>
      <c r="M6" s="41"/>
      <c r="N6" s="41"/>
      <c r="O6" s="41"/>
      <c r="P6" s="41"/>
      <c r="Q6" s="41"/>
      <c r="R6" s="41"/>
      <c r="S6" s="41"/>
      <c r="T6" s="41"/>
      <c r="U6" s="41"/>
      <c r="V6" s="41"/>
      <c r="W6" s="41"/>
      <c r="X6" s="41"/>
      <c r="Y6" s="41"/>
      <c r="Z6" s="41"/>
    </row>
    <row r="7" ht="14.25" customHeight="1">
      <c r="A7" s="41"/>
      <c r="B7" s="41"/>
      <c r="C7" s="48" t="s">
        <v>293</v>
      </c>
      <c r="D7" s="48" t="s">
        <v>295</v>
      </c>
      <c r="E7" s="48" t="s">
        <v>296</v>
      </c>
      <c r="F7" s="48" t="s">
        <v>297</v>
      </c>
      <c r="G7" s="48" t="s">
        <v>298</v>
      </c>
      <c r="H7" s="48" t="s">
        <v>299</v>
      </c>
      <c r="I7" s="48" t="s">
        <v>300</v>
      </c>
      <c r="J7" s="48" t="s">
        <v>301</v>
      </c>
      <c r="K7" s="41"/>
      <c r="L7" s="41"/>
      <c r="M7" s="41"/>
      <c r="N7" s="41"/>
      <c r="O7" s="41"/>
      <c r="P7" s="41"/>
      <c r="Q7" s="41"/>
      <c r="R7" s="41"/>
      <c r="S7" s="41"/>
      <c r="T7" s="41"/>
      <c r="U7" s="41"/>
      <c r="V7" s="41"/>
      <c r="W7" s="41"/>
      <c r="X7" s="41"/>
      <c r="Y7" s="41"/>
      <c r="Z7" s="41"/>
    </row>
    <row r="8" ht="14.25" customHeight="1">
      <c r="A8" s="41"/>
      <c r="B8" s="41"/>
      <c r="C8" s="49">
        <v>1.0</v>
      </c>
      <c r="D8" s="49" t="s">
        <v>303</v>
      </c>
      <c r="E8" s="49" t="s">
        <v>304</v>
      </c>
      <c r="F8" s="49" t="s">
        <v>57</v>
      </c>
      <c r="G8" s="49"/>
      <c r="H8" s="49" t="s">
        <v>305</v>
      </c>
      <c r="I8" s="49">
        <v>50000.0</v>
      </c>
      <c r="J8" s="49"/>
      <c r="K8" s="41">
        <v>50000.0</v>
      </c>
      <c r="L8" s="41"/>
      <c r="M8" s="41"/>
      <c r="N8" s="41"/>
      <c r="O8" s="41"/>
      <c r="P8" s="41"/>
      <c r="Q8" s="41"/>
      <c r="R8" s="41"/>
      <c r="S8" s="41"/>
      <c r="T8" s="41"/>
      <c r="U8" s="41"/>
      <c r="V8" s="41"/>
      <c r="W8" s="41"/>
      <c r="X8" s="41"/>
      <c r="Y8" s="41"/>
      <c r="Z8" s="41"/>
    </row>
    <row r="9" ht="14.25" customHeight="1">
      <c r="A9" s="41"/>
      <c r="B9" s="41"/>
      <c r="C9" s="49">
        <v>2.0</v>
      </c>
      <c r="D9" s="49" t="s">
        <v>307</v>
      </c>
      <c r="E9" s="49" t="s">
        <v>304</v>
      </c>
      <c r="F9" s="49" t="s">
        <v>98</v>
      </c>
      <c r="G9" s="49"/>
      <c r="H9" s="49" t="s">
        <v>308</v>
      </c>
      <c r="I9" s="49">
        <v>145000.0</v>
      </c>
      <c r="J9" s="49">
        <v>73500.0</v>
      </c>
      <c r="K9" s="41">
        <v>71500.0</v>
      </c>
      <c r="L9" s="41"/>
      <c r="M9" s="41"/>
      <c r="N9" s="41"/>
      <c r="O9" s="41">
        <v>5000.0</v>
      </c>
      <c r="P9" s="41" t="s">
        <v>309</v>
      </c>
      <c r="Q9" s="41"/>
      <c r="R9" s="41"/>
      <c r="S9" s="41"/>
      <c r="T9" s="41"/>
      <c r="U9" s="41"/>
      <c r="V9" s="41"/>
      <c r="W9" s="41"/>
      <c r="X9" s="41"/>
      <c r="Y9" s="41"/>
      <c r="Z9" s="41"/>
    </row>
    <row r="10" ht="14.25" customHeight="1">
      <c r="A10" s="41"/>
      <c r="B10" s="41"/>
      <c r="C10" s="49">
        <v>4.0</v>
      </c>
      <c r="D10" s="49" t="s">
        <v>310</v>
      </c>
      <c r="E10" s="49" t="s">
        <v>304</v>
      </c>
      <c r="F10" s="49" t="s">
        <v>116</v>
      </c>
      <c r="G10" s="49"/>
      <c r="H10" s="49" t="s">
        <v>312</v>
      </c>
      <c r="I10" s="49">
        <v>70000.0</v>
      </c>
      <c r="J10" s="49"/>
      <c r="K10" s="41">
        <v>58000.0</v>
      </c>
      <c r="L10" s="41"/>
      <c r="M10" s="41"/>
      <c r="N10" s="41"/>
      <c r="O10" s="41">
        <v>5000.0</v>
      </c>
      <c r="P10" s="41" t="s">
        <v>313</v>
      </c>
      <c r="Q10" s="41"/>
      <c r="R10" s="41"/>
      <c r="S10" s="41"/>
      <c r="T10" s="41"/>
      <c r="U10" s="41"/>
      <c r="V10" s="41"/>
      <c r="W10" s="41"/>
      <c r="X10" s="41"/>
      <c r="Y10" s="41"/>
      <c r="Z10" s="41"/>
    </row>
    <row r="11" ht="14.25" customHeight="1">
      <c r="A11" s="41"/>
      <c r="B11" s="41"/>
      <c r="C11" s="49">
        <v>5.0</v>
      </c>
      <c r="D11" s="49" t="s">
        <v>314</v>
      </c>
      <c r="E11" s="49" t="s">
        <v>315</v>
      </c>
      <c r="F11" s="49" t="s">
        <v>124</v>
      </c>
      <c r="G11" s="49" t="s">
        <v>127</v>
      </c>
      <c r="H11" s="49" t="s">
        <v>316</v>
      </c>
      <c r="I11" s="49">
        <v>25000.0</v>
      </c>
      <c r="J11" s="49">
        <v>15000.0</v>
      </c>
      <c r="K11" s="41"/>
      <c r="L11" s="41"/>
      <c r="M11" s="41"/>
      <c r="N11" s="41"/>
      <c r="O11" s="41">
        <v>14600.0</v>
      </c>
      <c r="P11" s="41" t="s">
        <v>318</v>
      </c>
      <c r="Q11" s="41"/>
      <c r="R11" s="41"/>
      <c r="S11" s="41"/>
      <c r="T11" s="41"/>
      <c r="U11" s="41"/>
      <c r="V11" s="41"/>
      <c r="W11" s="41"/>
      <c r="X11" s="41"/>
      <c r="Y11" s="41"/>
      <c r="Z11" s="41"/>
    </row>
    <row r="12" ht="14.25" customHeight="1">
      <c r="A12" s="41"/>
      <c r="B12" s="41"/>
      <c r="C12" s="49">
        <v>6.0</v>
      </c>
      <c r="D12" s="49" t="s">
        <v>131</v>
      </c>
      <c r="E12" s="49" t="s">
        <v>315</v>
      </c>
      <c r="F12" s="49" t="s">
        <v>124</v>
      </c>
      <c r="G12" s="49" t="s">
        <v>127</v>
      </c>
      <c r="H12" s="49" t="s">
        <v>316</v>
      </c>
      <c r="I12" s="49">
        <v>25000.0</v>
      </c>
      <c r="J12" s="49">
        <v>15000.0</v>
      </c>
      <c r="K12" s="41"/>
      <c r="L12" s="41"/>
      <c r="M12" s="41"/>
      <c r="N12" s="41"/>
      <c r="O12" s="41">
        <v>11000.0</v>
      </c>
      <c r="P12" s="41" t="s">
        <v>320</v>
      </c>
      <c r="Q12" s="41"/>
      <c r="R12" s="41"/>
      <c r="S12" s="41"/>
      <c r="T12" s="41"/>
      <c r="U12" s="41"/>
      <c r="V12" s="41"/>
      <c r="W12" s="41"/>
      <c r="X12" s="41"/>
      <c r="Y12" s="41"/>
      <c r="Z12" s="41"/>
    </row>
    <row r="13" ht="14.25" customHeight="1">
      <c r="A13" s="41"/>
      <c r="B13" s="41"/>
      <c r="C13" s="49">
        <v>7.0</v>
      </c>
      <c r="D13" s="49" t="s">
        <v>322</v>
      </c>
      <c r="E13" s="49" t="s">
        <v>315</v>
      </c>
      <c r="F13" s="49" t="s">
        <v>124</v>
      </c>
      <c r="G13" s="49" t="s">
        <v>127</v>
      </c>
      <c r="H13" s="49" t="s">
        <v>316</v>
      </c>
      <c r="I13" s="49">
        <v>25000.0</v>
      </c>
      <c r="J13" s="49">
        <v>15000.0</v>
      </c>
      <c r="K13" s="41"/>
      <c r="L13" s="41"/>
      <c r="M13" s="41"/>
      <c r="N13" s="41"/>
      <c r="O13" s="41"/>
      <c r="P13" s="41"/>
      <c r="Q13" s="41"/>
      <c r="R13" s="41"/>
      <c r="S13" s="41"/>
      <c r="T13" s="41"/>
      <c r="U13" s="41"/>
      <c r="V13" s="41"/>
      <c r="W13" s="41"/>
      <c r="X13" s="41"/>
      <c r="Y13" s="41"/>
      <c r="Z13" s="41"/>
    </row>
    <row r="14" ht="14.25" customHeight="1">
      <c r="A14" s="41"/>
      <c r="B14" s="41"/>
      <c r="C14" s="49">
        <v>8.0</v>
      </c>
      <c r="D14" s="49" t="s">
        <v>325</v>
      </c>
      <c r="E14" s="49" t="s">
        <v>315</v>
      </c>
      <c r="F14" s="49" t="s">
        <v>124</v>
      </c>
      <c r="G14" s="49" t="s">
        <v>127</v>
      </c>
      <c r="H14" s="49" t="s">
        <v>316</v>
      </c>
      <c r="I14" s="49">
        <v>20000.0</v>
      </c>
      <c r="J14" s="49">
        <v>15000.0</v>
      </c>
      <c r="K14" s="41"/>
      <c r="L14" s="41"/>
      <c r="M14" s="41"/>
      <c r="N14" s="41"/>
      <c r="O14" s="41">
        <v>20000.0</v>
      </c>
      <c r="P14" s="41" t="s">
        <v>326</v>
      </c>
      <c r="Q14" s="41"/>
      <c r="R14" s="41"/>
      <c r="S14" s="41"/>
      <c r="T14" s="41"/>
      <c r="U14" s="41"/>
      <c r="V14" s="41"/>
      <c r="W14" s="41"/>
      <c r="X14" s="41"/>
      <c r="Y14" s="41"/>
      <c r="Z14" s="41"/>
    </row>
    <row r="15" ht="14.25" customHeight="1">
      <c r="A15" s="41"/>
      <c r="B15" s="41"/>
      <c r="C15" s="49">
        <v>9.0</v>
      </c>
      <c r="D15" s="49" t="s">
        <v>314</v>
      </c>
      <c r="E15" s="49" t="s">
        <v>315</v>
      </c>
      <c r="F15" s="49" t="s">
        <v>154</v>
      </c>
      <c r="G15" s="49" t="s">
        <v>156</v>
      </c>
      <c r="H15" s="49" t="s">
        <v>316</v>
      </c>
      <c r="I15" s="49">
        <v>50000.0</v>
      </c>
      <c r="J15" s="49">
        <v>13000.0</v>
      </c>
      <c r="K15" s="41"/>
      <c r="L15" s="41"/>
      <c r="M15" s="41"/>
      <c r="N15" s="41"/>
      <c r="O15" s="41">
        <v>5000.0</v>
      </c>
      <c r="P15" s="41" t="s">
        <v>329</v>
      </c>
      <c r="Q15" s="41"/>
      <c r="R15" s="41"/>
      <c r="S15" s="41"/>
      <c r="T15" s="41"/>
      <c r="U15" s="41"/>
      <c r="V15" s="41"/>
      <c r="W15" s="41"/>
      <c r="X15" s="41"/>
      <c r="Y15" s="41"/>
      <c r="Z15" s="41"/>
    </row>
    <row r="16" ht="14.25" customHeight="1">
      <c r="A16" s="41"/>
      <c r="B16" s="41"/>
      <c r="C16" s="49">
        <v>10.0</v>
      </c>
      <c r="D16" s="49" t="s">
        <v>330</v>
      </c>
      <c r="E16" s="49" t="s">
        <v>315</v>
      </c>
      <c r="F16" s="49" t="s">
        <v>154</v>
      </c>
      <c r="G16" s="49" t="s">
        <v>156</v>
      </c>
      <c r="H16" s="49" t="s">
        <v>316</v>
      </c>
      <c r="I16" s="49">
        <v>50000.0</v>
      </c>
      <c r="J16" s="49">
        <v>13000.0</v>
      </c>
      <c r="K16" s="41"/>
      <c r="L16" s="41"/>
      <c r="M16" s="41"/>
      <c r="N16" s="41"/>
      <c r="O16" s="41">
        <v>1000.0</v>
      </c>
      <c r="P16" s="41" t="s">
        <v>332</v>
      </c>
      <c r="Q16" s="41"/>
      <c r="R16" s="41"/>
      <c r="S16" s="41"/>
      <c r="T16" s="41"/>
      <c r="U16" s="41"/>
      <c r="V16" s="41"/>
      <c r="W16" s="41"/>
      <c r="X16" s="41"/>
      <c r="Y16" s="41"/>
      <c r="Z16" s="41"/>
    </row>
    <row r="17" ht="14.25" customHeight="1">
      <c r="A17" s="41"/>
      <c r="B17" s="41"/>
      <c r="C17" s="49">
        <v>11.0</v>
      </c>
      <c r="D17" s="49" t="s">
        <v>334</v>
      </c>
      <c r="E17" s="49" t="s">
        <v>304</v>
      </c>
      <c r="F17" s="49" t="s">
        <v>335</v>
      </c>
      <c r="G17" s="49" t="s">
        <v>173</v>
      </c>
      <c r="H17" s="49" t="s">
        <v>337</v>
      </c>
      <c r="I17" s="49">
        <v>200000.0</v>
      </c>
      <c r="J17" s="49">
        <v>150000.0</v>
      </c>
      <c r="K17" s="41"/>
      <c r="L17" s="50" t="s">
        <v>338</v>
      </c>
      <c r="M17" s="41"/>
      <c r="N17" s="41"/>
      <c r="O17" s="41">
        <v>2600.0</v>
      </c>
      <c r="P17" s="41" t="s">
        <v>339</v>
      </c>
      <c r="Q17" s="41"/>
      <c r="R17" s="41"/>
      <c r="S17" s="41"/>
      <c r="T17" s="41"/>
      <c r="U17" s="41"/>
      <c r="V17" s="41"/>
      <c r="W17" s="41"/>
      <c r="X17" s="41"/>
      <c r="Y17" s="41"/>
      <c r="Z17" s="41"/>
    </row>
    <row r="18" ht="14.25" customHeight="1">
      <c r="A18" s="41"/>
      <c r="B18" s="41"/>
      <c r="C18" s="49">
        <v>12.0</v>
      </c>
      <c r="D18" s="49" t="s">
        <v>340</v>
      </c>
      <c r="E18" s="49" t="s">
        <v>315</v>
      </c>
      <c r="F18" s="49" t="s">
        <v>341</v>
      </c>
      <c r="G18" s="49" t="s">
        <v>180</v>
      </c>
      <c r="H18" s="49" t="s">
        <v>342</v>
      </c>
      <c r="I18" s="49">
        <v>6000.0</v>
      </c>
      <c r="J18" s="49">
        <v>4125.0</v>
      </c>
      <c r="K18" s="41" t="s">
        <v>344</v>
      </c>
      <c r="L18" s="50" t="s">
        <v>304</v>
      </c>
      <c r="M18" s="41"/>
      <c r="N18" s="41"/>
      <c r="O18" s="41">
        <v>1500.0</v>
      </c>
      <c r="P18" s="41" t="s">
        <v>346</v>
      </c>
      <c r="Q18" s="41"/>
      <c r="R18" s="41"/>
      <c r="S18" s="41"/>
      <c r="T18" s="41"/>
      <c r="U18" s="41"/>
      <c r="V18" s="41"/>
      <c r="W18" s="41"/>
      <c r="X18" s="41"/>
      <c r="Y18" s="41"/>
      <c r="Z18" s="41"/>
    </row>
    <row r="19" ht="14.25" customHeight="1">
      <c r="A19" s="41"/>
      <c r="B19" s="41"/>
      <c r="C19" s="49">
        <v>13.0</v>
      </c>
      <c r="D19" s="49"/>
      <c r="E19" s="49"/>
      <c r="F19" s="49"/>
      <c r="G19" s="49"/>
      <c r="H19" s="49"/>
      <c r="I19" s="49">
        <f>SUM(I8:I18)</f>
        <v>666000</v>
      </c>
      <c r="J19" s="49">
        <f>SUM(J9:J18)</f>
        <v>313625</v>
      </c>
      <c r="K19" s="41"/>
      <c r="L19" s="41"/>
      <c r="M19" s="41"/>
      <c r="N19" s="41"/>
      <c r="O19" s="41">
        <v>12500.0</v>
      </c>
      <c r="P19" s="41" t="s">
        <v>351</v>
      </c>
      <c r="Q19" s="41"/>
      <c r="R19" s="41"/>
      <c r="S19" s="41"/>
      <c r="T19" s="41"/>
      <c r="U19" s="41"/>
      <c r="V19" s="41"/>
      <c r="W19" s="41"/>
      <c r="X19" s="41"/>
      <c r="Y19" s="41"/>
      <c r="Z19" s="41"/>
    </row>
    <row r="20" ht="14.25" customHeight="1">
      <c r="A20" s="41"/>
      <c r="B20" s="41"/>
      <c r="C20" s="49">
        <v>15.0</v>
      </c>
      <c r="D20" s="49"/>
      <c r="E20" s="49"/>
      <c r="F20" s="49"/>
      <c r="G20" s="49"/>
      <c r="H20" s="49"/>
      <c r="I20" s="49"/>
      <c r="J20" s="49"/>
      <c r="K20" s="41"/>
      <c r="L20" s="41"/>
      <c r="M20" s="41"/>
      <c r="N20" s="41"/>
      <c r="O20" s="41">
        <v>1200.0</v>
      </c>
      <c r="P20" s="41" t="s">
        <v>352</v>
      </c>
      <c r="Q20" s="41"/>
      <c r="R20" s="41"/>
      <c r="S20" s="41"/>
      <c r="T20" s="41"/>
      <c r="U20" s="41"/>
      <c r="V20" s="41"/>
      <c r="W20" s="41"/>
      <c r="X20" s="41"/>
      <c r="Y20" s="41"/>
      <c r="Z20" s="41"/>
    </row>
    <row r="21" ht="14.25" customHeight="1">
      <c r="A21" s="41"/>
      <c r="B21" s="41"/>
      <c r="C21" s="41"/>
      <c r="D21" s="41"/>
      <c r="E21" s="41"/>
      <c r="F21" s="41"/>
      <c r="G21" s="41"/>
      <c r="H21" s="41"/>
      <c r="I21" s="41"/>
      <c r="J21" s="41"/>
      <c r="K21" s="41"/>
      <c r="L21" s="41"/>
      <c r="M21" s="41"/>
      <c r="N21" s="41"/>
      <c r="O21" s="41">
        <f>SUM(O11:O20)</f>
        <v>69400</v>
      </c>
      <c r="P21" s="41"/>
      <c r="Q21" s="41"/>
      <c r="R21" s="41"/>
      <c r="S21" s="41"/>
      <c r="T21" s="41"/>
      <c r="U21" s="41"/>
      <c r="V21" s="41"/>
      <c r="W21" s="41"/>
      <c r="X21" s="41"/>
      <c r="Y21" s="41"/>
      <c r="Z21" s="41"/>
    </row>
    <row r="22" ht="14.2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4.25" customHeight="1">
      <c r="A23" s="41"/>
      <c r="B23" s="41"/>
      <c r="C23" s="41"/>
      <c r="D23" s="51" t="s">
        <v>89</v>
      </c>
      <c r="E23" s="51" t="s">
        <v>355</v>
      </c>
      <c r="F23" s="51" t="s">
        <v>356</v>
      </c>
      <c r="G23" s="51">
        <v>527000.0</v>
      </c>
      <c r="H23" s="51"/>
      <c r="I23" s="41"/>
      <c r="J23" s="41"/>
      <c r="K23" s="41"/>
      <c r="L23" s="41"/>
      <c r="M23" s="41"/>
      <c r="N23" s="41"/>
      <c r="O23" s="41"/>
      <c r="P23" s="41"/>
      <c r="Q23" s="41"/>
      <c r="R23" s="41"/>
      <c r="S23" s="41"/>
      <c r="T23" s="41"/>
      <c r="U23" s="41"/>
      <c r="V23" s="41"/>
      <c r="W23" s="41"/>
      <c r="X23" s="41"/>
      <c r="Y23" s="41"/>
      <c r="Z23" s="41"/>
    </row>
    <row r="24" ht="14.25" customHeight="1">
      <c r="A24" s="41"/>
      <c r="B24" s="41"/>
      <c r="C24" s="41"/>
      <c r="D24" s="51"/>
      <c r="E24" s="51"/>
      <c r="F24" s="51"/>
      <c r="G24" s="52" t="s">
        <v>357</v>
      </c>
      <c r="H24" s="51"/>
      <c r="I24" s="41"/>
      <c r="J24" s="53" t="s">
        <v>358</v>
      </c>
      <c r="M24" s="41"/>
      <c r="N24" s="41"/>
      <c r="O24" s="41"/>
      <c r="P24" s="41"/>
      <c r="Q24" s="41"/>
      <c r="R24" s="41"/>
      <c r="S24" s="41"/>
      <c r="T24" s="41"/>
      <c r="U24" s="41"/>
      <c r="V24" s="41"/>
      <c r="W24" s="41"/>
      <c r="X24" s="41"/>
      <c r="Y24" s="41"/>
      <c r="Z24" s="41"/>
    </row>
    <row r="25" ht="14.25" customHeight="1">
      <c r="A25" s="41"/>
      <c r="B25" s="41"/>
      <c r="C25" s="41"/>
      <c r="D25" s="51"/>
      <c r="E25" s="51"/>
      <c r="F25" s="51"/>
      <c r="G25" s="51" t="s">
        <v>361</v>
      </c>
      <c r="H25" s="51" t="s">
        <v>304</v>
      </c>
      <c r="I25" s="41"/>
      <c r="M25" s="41"/>
      <c r="N25" s="41"/>
      <c r="O25" s="41"/>
      <c r="P25" s="41"/>
      <c r="Q25" s="41"/>
      <c r="R25" s="41"/>
      <c r="S25" s="41"/>
      <c r="T25" s="41"/>
      <c r="U25" s="41"/>
      <c r="V25" s="41"/>
      <c r="W25" s="41"/>
      <c r="X25" s="41"/>
      <c r="Y25" s="41"/>
      <c r="Z25" s="41"/>
    </row>
    <row r="26" ht="14.25" customHeight="1">
      <c r="A26" s="41"/>
      <c r="B26" s="41"/>
      <c r="C26" s="41"/>
      <c r="D26" s="51"/>
      <c r="E26" s="51"/>
      <c r="F26" s="51"/>
      <c r="G26" s="51">
        <v>100000.0</v>
      </c>
      <c r="H26" s="51" t="s">
        <v>362</v>
      </c>
      <c r="I26" s="41"/>
      <c r="J26" s="41"/>
      <c r="K26" s="41"/>
      <c r="L26" s="41"/>
      <c r="M26" s="41"/>
      <c r="N26" s="41"/>
      <c r="O26" s="41"/>
      <c r="P26" s="41"/>
      <c r="Q26" s="41"/>
      <c r="R26" s="41"/>
      <c r="S26" s="41"/>
      <c r="T26" s="41"/>
      <c r="U26" s="41"/>
      <c r="V26" s="41"/>
      <c r="W26" s="41"/>
      <c r="X26" s="41"/>
      <c r="Y26" s="41"/>
      <c r="Z26" s="41"/>
    </row>
    <row r="27" ht="14.25" customHeight="1">
      <c r="A27" s="41"/>
      <c r="B27" s="41"/>
      <c r="C27" s="41"/>
      <c r="D27" s="51"/>
      <c r="E27" s="51"/>
      <c r="F27" s="51"/>
      <c r="G27" s="51" t="s">
        <v>365</v>
      </c>
      <c r="H27" s="51" t="s">
        <v>362</v>
      </c>
      <c r="I27" s="41"/>
      <c r="J27" s="41"/>
      <c r="K27" s="41"/>
      <c r="L27" s="41"/>
      <c r="M27" s="41"/>
      <c r="N27" s="41"/>
      <c r="O27" s="41"/>
      <c r="P27" s="41"/>
      <c r="Q27" s="41"/>
      <c r="R27" s="41"/>
      <c r="S27" s="41"/>
      <c r="T27" s="41"/>
      <c r="U27" s="41"/>
      <c r="V27" s="41"/>
      <c r="W27" s="41"/>
      <c r="X27" s="41"/>
      <c r="Y27" s="41"/>
      <c r="Z27" s="41"/>
    </row>
    <row r="28" ht="14.25" customHeight="1">
      <c r="A28" s="41"/>
      <c r="B28" s="41"/>
      <c r="C28" s="41"/>
      <c r="D28" s="41"/>
      <c r="E28" s="41"/>
      <c r="F28" s="41"/>
      <c r="G28" s="50">
        <v>327000.0</v>
      </c>
      <c r="H28" s="50" t="s">
        <v>367</v>
      </c>
      <c r="I28" s="41"/>
      <c r="J28" s="41"/>
      <c r="K28" s="41"/>
      <c r="L28" s="41"/>
      <c r="M28" s="41"/>
      <c r="N28" s="41"/>
      <c r="O28" s="41"/>
      <c r="P28" s="41"/>
      <c r="Q28" s="41"/>
      <c r="R28" s="41"/>
      <c r="S28" s="41"/>
      <c r="T28" s="41"/>
      <c r="U28" s="41"/>
      <c r="V28" s="41"/>
      <c r="W28" s="41"/>
      <c r="X28" s="41"/>
      <c r="Y28" s="41"/>
      <c r="Z28" s="41"/>
    </row>
    <row r="29" ht="14.25" customHeight="1">
      <c r="A29" s="41"/>
      <c r="B29" s="41"/>
      <c r="C29" s="41"/>
      <c r="D29" s="41"/>
      <c r="E29" s="41"/>
      <c r="F29" s="41"/>
      <c r="G29" s="50">
        <v>50000.0</v>
      </c>
      <c r="H29" s="50" t="s">
        <v>368</v>
      </c>
      <c r="I29" s="41"/>
      <c r="J29" s="41"/>
      <c r="K29" s="41"/>
      <c r="L29" s="41"/>
      <c r="M29" s="41"/>
      <c r="N29" s="41"/>
      <c r="O29" s="41"/>
      <c r="P29" s="41"/>
      <c r="Q29" s="41"/>
      <c r="R29" s="41"/>
      <c r="S29" s="41"/>
      <c r="T29" s="41"/>
      <c r="U29" s="41"/>
      <c r="V29" s="41"/>
      <c r="W29" s="41"/>
      <c r="X29" s="41"/>
      <c r="Y29" s="41"/>
      <c r="Z29" s="41"/>
    </row>
    <row r="30" ht="14.25" customHeight="1">
      <c r="A30" s="41"/>
      <c r="B30" s="41"/>
      <c r="C30" s="41"/>
      <c r="D30" s="41"/>
      <c r="E30" s="41"/>
      <c r="F30" s="41"/>
      <c r="G30" s="50">
        <v>277000.0</v>
      </c>
      <c r="H30" s="50" t="s">
        <v>367</v>
      </c>
      <c r="I30" s="41"/>
      <c r="J30" s="41"/>
      <c r="K30" s="41"/>
      <c r="L30" s="41"/>
      <c r="M30" s="41"/>
      <c r="N30" s="41"/>
      <c r="O30" s="41"/>
      <c r="P30" s="41"/>
      <c r="Q30" s="41"/>
      <c r="R30" s="41"/>
      <c r="S30" s="41"/>
      <c r="T30" s="41"/>
      <c r="U30" s="41"/>
      <c r="V30" s="41"/>
      <c r="W30" s="41"/>
      <c r="X30" s="41"/>
      <c r="Y30" s="41"/>
      <c r="Z30" s="41"/>
    </row>
    <row r="31" ht="14.25" customHeight="1">
      <c r="A31" s="41"/>
      <c r="B31" s="41"/>
      <c r="C31" s="41"/>
      <c r="D31" s="41"/>
      <c r="E31" s="41"/>
      <c r="F31" s="41"/>
      <c r="G31" s="41">
        <v>30000.0</v>
      </c>
      <c r="H31" s="41" t="s">
        <v>368</v>
      </c>
      <c r="I31" s="41"/>
      <c r="J31" s="41"/>
      <c r="K31" s="41"/>
      <c r="L31" s="41"/>
      <c r="M31" s="41"/>
      <c r="N31" s="41"/>
      <c r="O31" s="41"/>
      <c r="P31" s="41"/>
      <c r="Q31" s="41"/>
      <c r="R31" s="41"/>
      <c r="S31" s="41"/>
      <c r="T31" s="41"/>
      <c r="U31" s="41"/>
      <c r="V31" s="41"/>
      <c r="W31" s="41"/>
      <c r="X31" s="41"/>
      <c r="Y31" s="41"/>
      <c r="Z31" s="41"/>
    </row>
    <row r="32" ht="14.25" customHeight="1">
      <c r="A32" s="41"/>
      <c r="B32" s="41"/>
      <c r="C32" s="41"/>
      <c r="D32" s="41"/>
      <c r="E32" s="41"/>
      <c r="F32" s="41"/>
      <c r="G32" s="41">
        <v>247000.0</v>
      </c>
      <c r="H32" s="41" t="s">
        <v>367</v>
      </c>
      <c r="I32" s="41"/>
      <c r="J32" s="41"/>
      <c r="K32" s="41"/>
      <c r="L32" s="41"/>
      <c r="M32" s="41"/>
      <c r="N32" s="41"/>
      <c r="O32" s="41"/>
      <c r="P32" s="41"/>
      <c r="Q32" s="41"/>
      <c r="R32" s="41"/>
      <c r="S32" s="41"/>
      <c r="T32" s="41"/>
      <c r="U32" s="41"/>
      <c r="V32" s="41"/>
      <c r="W32" s="41"/>
      <c r="X32" s="41"/>
      <c r="Y32" s="41"/>
      <c r="Z32" s="41"/>
    </row>
    <row r="33" ht="14.2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ht="14.2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14.2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ht="14.2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14.2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ht="14.2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ht="14.2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ht="14.2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ht="14.2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4.2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4.2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4.2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4.2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4.2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4.2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4.2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4.2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4.2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4.2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4.2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4.2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4.2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4.2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4.2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4.2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4.2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4.2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4.2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4.2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4.2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4.2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4.2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4.2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4.2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4.2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4.2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4.2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4.2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4.2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4.2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4.2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4.2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4.2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4.2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4.2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4.2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4.2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4.2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4.2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4.2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4.2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4.2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4.2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4.2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4.2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4.2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4.2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4.2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4.2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4.2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4.2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4.2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4.2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4.2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4.2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4.2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4.2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4.2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4.2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4.2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4.2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4.2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4.2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4.2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4.2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4.2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4.2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4.2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4.2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4.2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4.2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4.2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4.2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4.2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4.2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4.2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4.2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4.2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4.2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4.2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4.2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4.2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4.2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4.2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4.2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4.2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4.2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4.2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4.2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4.2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4.2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4.2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4.2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4.2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4.2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4.2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4.2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4.2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4.2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4.2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4.2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4.2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4.2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4.2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4.2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4.2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4.2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4.2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4.2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4.2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4.2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4.2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4.2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4.2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4.2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4.2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4.2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4.2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4.2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4.2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4.2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4.2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4.2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4.2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4.2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4.2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4.2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4.2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4.2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4.2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4.2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4.2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4.2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4.2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4.2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4.2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4.2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4.2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4.2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4.2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4.2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4.2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4.2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4.2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4.2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4.2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4.2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4.2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4.2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4.2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4.2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4.2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4.2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4.2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4.2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4.2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4.2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4.2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4.2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4.2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4.2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4.2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4.2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4.2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4.2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4.2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4.2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4.2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4.2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4.2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4.2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4.2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4.2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4.2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4.2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4.2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4.2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4.2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4.2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4.2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4.2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4.2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4.2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4.2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4.2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4.2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4.2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4.2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4.2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4.2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4.2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4.2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4.2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4.2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4.2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4.2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4.2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4.2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4.2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4.2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4.2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4.2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4.2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4.2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4.2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4.2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4.2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4.2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4.2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4.2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4.2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4.2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4.2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4.2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4.2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4.2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4.2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4.2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4.2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4.2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4.2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4.2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4.2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4.2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4.2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4.2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4.2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4.2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4.2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4.2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4.2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4.2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4.2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4.2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4.2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4.2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4.2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4.2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4.2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4.2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4.2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4.2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4.2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4.2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4.2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4.2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4.2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4.2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4.2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4.2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4.2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4.2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4.2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4.2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4.2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4.2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4.2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4.2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4.2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4.2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4.2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4.2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4.2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4.2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4.2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4.2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4.2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4.2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4.2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4.2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4.2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4.2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4.2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4.2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4.2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4.2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4.2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4.2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4.2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4.2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4.2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4.2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4.2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4.2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4.2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4.2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4.2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4.2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4.2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4.2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4.2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4.2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4.2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4.2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4.2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4.2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4.2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4.2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4.2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4.2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4.2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4.2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4.2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4.2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4.2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4.2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4.2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4.2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4.2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4.2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4.2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4.2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4.2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4.2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4.2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4.2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4.2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4.2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4.2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4.2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4.2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4.2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4.2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4.2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4.2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4.2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4.2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4.2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4.2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4.2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4.2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4.2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4.2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4.2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4.2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4.2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4.2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4.2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4.2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4.2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4.2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4.2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4.2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4.2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4.2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4.2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4.2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4.2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4.2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4.2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4.2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4.2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4.2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4.2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4.2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4.2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4.2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4.2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4.2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4.2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4.2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4.2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4.2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4.2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4.2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4.2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4.2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4.2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4.2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4.2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4.2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4.2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4.2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4.2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4.2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4.2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4.2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4.2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4.2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4.2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4.2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4.2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4.2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4.2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4.2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4.2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4.2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4.2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4.2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4.2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4.2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4.2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4.2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4.2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4.2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4.2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4.2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4.2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4.2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4.2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4.2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4.2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4.2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4.2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4.2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4.2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4.2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4.2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4.2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4.2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4.2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4.2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4.2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4.2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4.2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4.2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4.2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4.2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4.2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4.2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4.2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4.2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4.2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4.2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4.2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4.2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4.2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4.2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4.2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4.2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4.2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4.2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4.2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4.2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4.2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4.2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4.2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4.2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4.2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4.2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4.2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4.2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4.2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4.2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4.2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4.2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4.2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4.2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4.2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4.2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4.2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4.2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4.2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4.2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4.2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4.2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4.2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4.2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4.2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4.2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4.2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4.2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4.2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4.2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4.2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4.2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4.2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4.2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4.2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4.2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4.2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4.2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4.2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4.2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4.2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4.2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4.2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4.2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4.2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4.2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4.2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4.2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4.2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4.2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4.2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4.2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4.2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4.2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4.2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4.2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4.2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4.2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4.2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4.2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4.2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4.2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4.2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4.2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4.2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4.2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4.2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4.2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4.2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4.2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4.2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4.2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4.2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4.2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4.2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4.2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4.2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4.2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4.2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4.2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4.2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4.2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4.2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4.2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4.2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4.2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4.2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4.2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4.2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4.2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4.2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4.2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4.2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4.2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4.2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4.2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4.2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4.2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4.2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4.2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4.2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4.2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4.2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4.2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4.2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4.2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4.2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4.2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4.2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4.2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4.2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4.2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4.2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4.2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4.2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4.2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4.2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4.2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4.2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4.2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4.2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4.2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4.2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4.2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4.2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4.2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4.2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4.2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4.2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4.2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4.2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4.2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4.2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4.2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4.2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4.2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4.2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4.2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4.2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4.2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4.2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4.2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4.2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4.2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4.2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4.2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4.2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4.2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4.2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4.2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4.2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4.2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4.2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4.2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4.2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4.2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4.2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4.2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4.2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4.2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4.2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4.2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4.2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4.2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4.2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4.2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4.2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4.2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4.2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4.2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4.2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4.2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4.2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4.2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4.2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4.2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4.2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4.2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4.2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4.2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4.2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4.2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4.2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4.2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4.2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4.2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4.2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4.2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4.2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4.2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4.2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4.2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4.2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4.2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4.2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4.2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4.2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4.2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4.2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4.2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4.2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4.2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4.2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4.2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4.2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4.2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4.2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4.2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4.2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4.2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4.2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4.2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4.2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4.2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4.2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4.2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4.2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4.2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4.2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4.2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4.2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4.2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4.2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4.2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4.2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4.2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4.2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4.2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4.2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4.2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4.2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4.2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4.2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4.2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4.2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4.2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4.2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4.2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4.2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4.2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4.2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4.2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4.2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4.2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4.2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4.2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4.2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4.2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4.2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4.2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4.2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4.2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4.2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4.2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4.2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4.2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4.2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4.2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4.2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4.2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4.2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4.2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4.2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4.2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4.2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4.2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4.2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4.2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4.2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4.2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4.2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4.2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4.2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4.2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4.2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4.2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4.2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4.2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4.2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4.2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4.2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4.2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4.2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4.2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4.2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4.2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4.2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4.2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4.2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4.2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4.2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4.2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4.2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4.2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4.2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4.2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4.2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4.2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4.2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4.2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4.2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4.2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4.2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4.2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4.2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4.2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4.2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4.2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4.2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4.2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4.2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4.2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4.2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4.2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4.2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4.2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4.2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4.2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4.2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4.2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4.2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4.2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4.2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4.2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4.2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4.2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4.2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4.2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4.2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4.2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4.2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4.2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4.2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4.2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4.2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4.2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4.2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4.2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4.2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4.2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4.2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4.2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4.2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4.2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4.2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4.2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4.2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4.2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4.2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4.2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4.2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4.2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4.2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4.2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4.2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4.2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4.2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4.2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4.2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4.2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4.2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4.2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4.2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4.2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4.2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4.2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4.2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4.2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4.2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4.2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4.2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4.2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4.2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4.2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4.2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4.2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4.2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4.2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4.2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4.2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4.2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4.2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4.2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4.2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4.2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4.2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4.2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4.2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4.2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4.2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4.2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4.2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4.2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4.2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4.2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4.2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4.2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4.2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4.2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4.2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4.2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4.2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4.2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4.2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4.2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4.2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4.2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4.2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4.2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4.2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4.2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4.2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4.2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4.2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4.2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4.2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4.2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4.2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4.2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4.2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4.2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4.2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4.2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4.2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4.2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4.2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4.2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4.2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4.2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4.2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4.2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4.2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4.2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4.2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4.2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4.2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4.2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4.2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4.2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4.2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4.2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4.2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4.2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4.2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4.2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4.2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4.2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4.2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4.2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4.2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4.2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4.2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4.2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4.2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4.2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4.2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4.2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4.2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4.2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4.2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4.2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4.2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4.2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4.2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4.2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4.2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4.2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4.2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4.2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4.2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4.2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4.2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4.2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4.2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4.2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4.2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4.2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4.2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4.2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4.2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4.2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4.2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4.2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4.2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4.2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4.2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4.2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4.2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4.2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4.2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4.2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4.2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4.2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4.2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4.2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4.2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4.2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4.2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4.2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4.2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4.2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4.2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4.2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4.2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4.2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4.2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4.2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4.2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4.2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4.2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4.2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4.2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4.2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4.2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4.2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4.2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4.2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4.2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4.2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4.2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4.2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4.2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4.2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4.2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2">
    <mergeCell ref="E4:H5"/>
    <mergeCell ref="J24:L25"/>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2.43"/>
    <col customWidth="1" min="4" max="5" width="17.14"/>
    <col customWidth="1" min="6" max="6" width="19.86"/>
    <col customWidth="1" min="7" max="7" width="18.57"/>
    <col customWidth="1" min="8" max="8" width="20.57"/>
    <col customWidth="1" min="9" max="9" width="16.86"/>
    <col customWidth="1" min="10" max="11" width="12.86"/>
    <col customWidth="1" min="12" max="12" width="19.86"/>
    <col customWidth="1" min="13" max="13" width="27.57"/>
    <col customWidth="1" min="14" max="15" width="8.71"/>
    <col customWidth="1" min="16" max="16" width="13.43"/>
    <col customWidth="1" min="17" max="20" width="8.71"/>
    <col customWidth="1" min="21" max="21" width="14.0"/>
    <col customWidth="1" min="22" max="22" width="17.86"/>
    <col customWidth="1" min="23" max="23" width="10.43"/>
    <col customWidth="1" min="24" max="26" width="8.71"/>
  </cols>
  <sheetData>
    <row r="1" ht="14.25" customHeight="1"/>
    <row r="2" ht="14.25" customHeight="1"/>
    <row r="3" ht="14.25" customHeight="1"/>
    <row r="4" ht="14.25" customHeight="1">
      <c r="E4" s="54" t="s">
        <v>394</v>
      </c>
      <c r="F4" s="43"/>
      <c r="G4" s="43"/>
      <c r="H4" s="44"/>
    </row>
    <row r="5" ht="14.25" customHeight="1">
      <c r="E5" s="45"/>
      <c r="F5" s="46"/>
      <c r="G5" s="46"/>
      <c r="H5" s="47"/>
    </row>
    <row r="6" ht="14.25" customHeight="1">
      <c r="L6" s="55"/>
    </row>
    <row r="7" ht="14.25" customHeight="1">
      <c r="C7" s="56" t="s">
        <v>293</v>
      </c>
      <c r="D7" s="48" t="s">
        <v>295</v>
      </c>
      <c r="E7" s="48" t="s">
        <v>296</v>
      </c>
      <c r="F7" s="48" t="s">
        <v>297</v>
      </c>
      <c r="G7" s="48" t="s">
        <v>298</v>
      </c>
      <c r="H7" s="48" t="s">
        <v>299</v>
      </c>
      <c r="I7" s="48" t="s">
        <v>300</v>
      </c>
      <c r="J7" s="57" t="s">
        <v>301</v>
      </c>
      <c r="K7" s="57" t="s">
        <v>405</v>
      </c>
      <c r="L7" s="58" t="s">
        <v>406</v>
      </c>
      <c r="M7" s="59"/>
      <c r="N7" s="58"/>
      <c r="Q7" s="35" t="s">
        <v>410</v>
      </c>
    </row>
    <row r="8" ht="14.25" customHeight="1">
      <c r="C8" s="41">
        <v>1.0</v>
      </c>
      <c r="D8" s="60" t="s">
        <v>191</v>
      </c>
      <c r="E8" s="60" t="s">
        <v>304</v>
      </c>
      <c r="F8" s="60" t="s">
        <v>412</v>
      </c>
      <c r="G8" s="60" t="s">
        <v>413</v>
      </c>
      <c r="H8" s="60" t="s">
        <v>414</v>
      </c>
      <c r="I8" s="60">
        <v>135000.0</v>
      </c>
      <c r="J8" s="61"/>
      <c r="K8" s="61"/>
      <c r="L8" s="62"/>
      <c r="M8" s="63"/>
      <c r="N8" s="64" t="s">
        <v>417</v>
      </c>
      <c r="O8" s="65"/>
      <c r="P8" s="65"/>
      <c r="Q8" s="66"/>
    </row>
    <row r="9" ht="14.25" customHeight="1">
      <c r="C9" s="41">
        <v>2.0</v>
      </c>
      <c r="D9" s="49" t="s">
        <v>422</v>
      </c>
      <c r="E9" s="49" t="s">
        <v>304</v>
      </c>
      <c r="F9" s="49" t="s">
        <v>423</v>
      </c>
      <c r="G9" s="49" t="s">
        <v>424</v>
      </c>
      <c r="H9" s="49" t="s">
        <v>425</v>
      </c>
      <c r="I9" s="49">
        <v>41900.0</v>
      </c>
      <c r="J9" s="67">
        <v>40000.0</v>
      </c>
      <c r="K9" s="67">
        <v>1900.0</v>
      </c>
      <c r="L9" s="62">
        <f>1900/2</f>
        <v>950</v>
      </c>
      <c r="M9" s="41" t="s">
        <v>432</v>
      </c>
      <c r="N9" s="41"/>
      <c r="O9" s="68"/>
      <c r="P9" s="62"/>
      <c r="Q9" s="68"/>
    </row>
    <row r="10" ht="14.25" customHeight="1">
      <c r="C10" s="41">
        <v>4.0</v>
      </c>
      <c r="D10" s="49" t="s">
        <v>433</v>
      </c>
      <c r="E10" s="49" t="s">
        <v>355</v>
      </c>
      <c r="F10" s="49" t="s">
        <v>434</v>
      </c>
      <c r="G10" s="49"/>
      <c r="H10" s="49" t="s">
        <v>436</v>
      </c>
      <c r="I10" s="49">
        <v>26000.0</v>
      </c>
      <c r="J10" s="67"/>
      <c r="K10" s="67"/>
      <c r="L10" s="62"/>
      <c r="O10" s="68"/>
      <c r="P10" s="62"/>
      <c r="Q10" s="62"/>
    </row>
    <row r="11" ht="14.25" customHeight="1">
      <c r="C11" s="41">
        <v>5.0</v>
      </c>
      <c r="D11" s="49" t="s">
        <v>437</v>
      </c>
      <c r="E11" s="49" t="s">
        <v>438</v>
      </c>
      <c r="F11" s="49" t="s">
        <v>439</v>
      </c>
      <c r="G11" s="49" t="s">
        <v>440</v>
      </c>
      <c r="H11" s="49" t="s">
        <v>441</v>
      </c>
      <c r="I11" s="49">
        <v>23000.0</v>
      </c>
      <c r="J11" s="67">
        <v>14500.0</v>
      </c>
      <c r="K11" s="67">
        <v>8500.0</v>
      </c>
      <c r="L11" s="62">
        <v>8500.0</v>
      </c>
      <c r="M11" s="41"/>
      <c r="N11" s="41"/>
    </row>
    <row r="12" ht="14.25" customHeight="1">
      <c r="C12" s="41">
        <v>6.0</v>
      </c>
      <c r="D12" s="49" t="s">
        <v>444</v>
      </c>
      <c r="E12" s="49" t="s">
        <v>355</v>
      </c>
      <c r="F12" s="49" t="s">
        <v>439</v>
      </c>
      <c r="G12" s="49" t="s">
        <v>440</v>
      </c>
      <c r="H12" s="49" t="s">
        <v>441</v>
      </c>
      <c r="I12" s="49">
        <v>23000.0</v>
      </c>
      <c r="J12" s="67">
        <v>14500.0</v>
      </c>
      <c r="K12" s="67">
        <v>8500.0</v>
      </c>
      <c r="L12" s="62">
        <v>8500.0</v>
      </c>
      <c r="M12" s="41"/>
      <c r="N12" s="41"/>
    </row>
    <row r="13" ht="14.25" customHeight="1">
      <c r="C13" s="41">
        <v>7.0</v>
      </c>
      <c r="D13" s="49" t="s">
        <v>445</v>
      </c>
      <c r="E13" s="49" t="s">
        <v>304</v>
      </c>
      <c r="F13" s="49" t="s">
        <v>412</v>
      </c>
      <c r="G13" s="49" t="s">
        <v>447</v>
      </c>
      <c r="H13" s="49" t="s">
        <v>342</v>
      </c>
      <c r="I13" s="69">
        <v>12000.0</v>
      </c>
      <c r="J13" s="70">
        <v>7192.0</v>
      </c>
      <c r="K13" s="70">
        <v>4808.0</v>
      </c>
      <c r="L13" s="71">
        <f>4808/2</f>
        <v>2404</v>
      </c>
      <c r="M13" s="53" t="s">
        <v>453</v>
      </c>
      <c r="N13" s="41"/>
      <c r="O13" s="72" t="s">
        <v>454</v>
      </c>
      <c r="P13" s="43"/>
      <c r="Q13" s="44"/>
      <c r="S13" s="53" t="s">
        <v>456</v>
      </c>
    </row>
    <row r="14" ht="14.25" customHeight="1">
      <c r="C14" s="41">
        <v>8.0</v>
      </c>
      <c r="D14" s="49" t="s">
        <v>457</v>
      </c>
      <c r="E14" s="49" t="s">
        <v>304</v>
      </c>
      <c r="F14" s="49" t="s">
        <v>458</v>
      </c>
      <c r="G14" s="49" t="s">
        <v>447</v>
      </c>
      <c r="H14" s="49" t="s">
        <v>342</v>
      </c>
      <c r="I14" s="73"/>
      <c r="J14" s="73"/>
      <c r="K14" s="73"/>
      <c r="L14" s="73"/>
      <c r="N14" s="41"/>
      <c r="O14" s="45"/>
      <c r="P14" s="46"/>
      <c r="Q14" s="47"/>
    </row>
    <row r="15" ht="14.25" customHeight="1">
      <c r="C15" s="41">
        <v>9.0</v>
      </c>
      <c r="D15" s="74" t="s">
        <v>460</v>
      </c>
      <c r="E15" s="74" t="s">
        <v>304</v>
      </c>
      <c r="F15" s="74" t="s">
        <v>462</v>
      </c>
      <c r="G15" s="74" t="s">
        <v>463</v>
      </c>
      <c r="H15" s="74" t="s">
        <v>464</v>
      </c>
      <c r="I15" s="74">
        <v>130000.0</v>
      </c>
      <c r="J15" s="75">
        <v>83650.0</v>
      </c>
      <c r="K15" s="75">
        <f>I15-J15</f>
        <v>46350</v>
      </c>
      <c r="L15" s="62">
        <f>K15/2</f>
        <v>23175</v>
      </c>
      <c r="M15" s="41"/>
      <c r="N15" s="41"/>
    </row>
    <row r="16" ht="14.25" customHeight="1">
      <c r="C16" s="41">
        <v>10.0</v>
      </c>
      <c r="D16" s="49" t="s">
        <v>469</v>
      </c>
      <c r="E16" s="49" t="s">
        <v>355</v>
      </c>
      <c r="F16" s="49" t="s">
        <v>470</v>
      </c>
      <c r="G16" s="49" t="s">
        <v>471</v>
      </c>
      <c r="H16" s="49" t="s">
        <v>472</v>
      </c>
      <c r="I16" s="49">
        <v>23000.0</v>
      </c>
      <c r="J16" s="49">
        <v>0.0</v>
      </c>
      <c r="K16" s="41">
        <v>23000.0</v>
      </c>
      <c r="L16" s="41">
        <v>23000.0</v>
      </c>
      <c r="M16" s="41"/>
      <c r="N16" s="41"/>
      <c r="P16" s="68"/>
      <c r="R16" s="35" t="s">
        <v>304</v>
      </c>
      <c r="S16" s="35">
        <v>3000.0</v>
      </c>
      <c r="V16" s="35" t="s">
        <v>474</v>
      </c>
      <c r="W16" s="35" t="s">
        <v>475</v>
      </c>
    </row>
    <row r="17" ht="14.25" customHeight="1">
      <c r="C17" s="41">
        <v>11.0</v>
      </c>
      <c r="D17" s="49" t="s">
        <v>476</v>
      </c>
      <c r="E17" s="49" t="s">
        <v>355</v>
      </c>
      <c r="F17" s="49" t="s">
        <v>477</v>
      </c>
      <c r="G17" s="49" t="s">
        <v>471</v>
      </c>
      <c r="H17" s="49" t="s">
        <v>441</v>
      </c>
      <c r="I17" s="49">
        <v>14000.0</v>
      </c>
      <c r="J17" s="49">
        <v>8300.0</v>
      </c>
      <c r="K17" s="41">
        <f>I17-J17</f>
        <v>5700</v>
      </c>
      <c r="L17" s="41">
        <v>5700.0</v>
      </c>
      <c r="M17" s="41"/>
      <c r="N17" s="41"/>
      <c r="P17" s="55"/>
      <c r="R17" s="35" t="s">
        <v>304</v>
      </c>
      <c r="S17" s="35">
        <v>400.0</v>
      </c>
      <c r="V17" s="35" t="s">
        <v>479</v>
      </c>
    </row>
    <row r="18" ht="14.25" customHeight="1">
      <c r="C18" s="41">
        <v>12.0</v>
      </c>
      <c r="D18" s="49" t="s">
        <v>481</v>
      </c>
      <c r="E18" s="49" t="s">
        <v>355</v>
      </c>
      <c r="F18" s="49" t="s">
        <v>423</v>
      </c>
      <c r="G18" s="49" t="s">
        <v>483</v>
      </c>
      <c r="H18" s="49" t="s">
        <v>441</v>
      </c>
      <c r="I18" s="49">
        <v>45000.0</v>
      </c>
      <c r="J18" s="49">
        <v>40905.0</v>
      </c>
      <c r="K18" s="41">
        <v>4905.0</v>
      </c>
      <c r="L18" s="41">
        <f>I18-J18</f>
        <v>4095</v>
      </c>
      <c r="M18" s="41" t="s">
        <v>485</v>
      </c>
      <c r="N18" s="41"/>
      <c r="P18" s="55"/>
      <c r="R18" s="35" t="s">
        <v>304</v>
      </c>
      <c r="S18" s="35">
        <v>4000.0</v>
      </c>
      <c r="V18" s="35" t="s">
        <v>487</v>
      </c>
      <c r="W18" s="35" t="s">
        <v>488</v>
      </c>
    </row>
    <row r="19" ht="14.25" customHeight="1">
      <c r="C19" s="41">
        <v>13.0</v>
      </c>
      <c r="D19" s="49" t="s">
        <v>489</v>
      </c>
      <c r="E19" s="49" t="s">
        <v>109</v>
      </c>
      <c r="F19" s="49" t="s">
        <v>335</v>
      </c>
      <c r="G19" s="49" t="s">
        <v>447</v>
      </c>
      <c r="H19" s="49" t="s">
        <v>342</v>
      </c>
      <c r="I19" s="71">
        <v>12000.0</v>
      </c>
      <c r="J19" s="70" t="s">
        <v>491</v>
      </c>
      <c r="K19" s="53"/>
      <c r="L19" s="53"/>
      <c r="M19" s="41"/>
      <c r="N19" s="41"/>
      <c r="P19" s="68"/>
      <c r="T19" s="35" t="s">
        <v>355</v>
      </c>
      <c r="U19" s="35">
        <v>1000.0</v>
      </c>
      <c r="V19" s="35" t="s">
        <v>309</v>
      </c>
    </row>
    <row r="20" ht="14.25" customHeight="1">
      <c r="C20" s="41">
        <v>14.0</v>
      </c>
      <c r="D20" s="49" t="s">
        <v>489</v>
      </c>
      <c r="E20" s="49" t="s">
        <v>355</v>
      </c>
      <c r="F20" s="49" t="s">
        <v>335</v>
      </c>
      <c r="G20" s="49" t="s">
        <v>471</v>
      </c>
      <c r="H20" s="49" t="s">
        <v>492</v>
      </c>
      <c r="I20" s="73"/>
      <c r="J20" s="73"/>
      <c r="K20" s="53"/>
      <c r="L20" s="53"/>
      <c r="M20" s="41"/>
      <c r="N20" s="41"/>
      <c r="T20" s="35" t="s">
        <v>355</v>
      </c>
      <c r="U20" s="35">
        <v>3000.0</v>
      </c>
      <c r="V20" s="35" t="s">
        <v>494</v>
      </c>
      <c r="W20" s="35" t="s">
        <v>495</v>
      </c>
    </row>
    <row r="21" ht="14.25" customHeight="1">
      <c r="C21" s="41">
        <v>15.0</v>
      </c>
      <c r="D21" s="49" t="s">
        <v>496</v>
      </c>
      <c r="E21" s="49" t="s">
        <v>304</v>
      </c>
      <c r="F21" s="49" t="s">
        <v>335</v>
      </c>
      <c r="G21" s="49" t="s">
        <v>304</v>
      </c>
      <c r="H21" s="49" t="s">
        <v>497</v>
      </c>
      <c r="I21" s="49">
        <v>4000.0</v>
      </c>
      <c r="J21" s="49">
        <v>0.0</v>
      </c>
      <c r="K21" s="41">
        <v>4000.0</v>
      </c>
      <c r="L21" s="41">
        <v>2000.0</v>
      </c>
      <c r="M21" s="41"/>
      <c r="N21" s="41"/>
      <c r="R21" s="35" t="s">
        <v>304</v>
      </c>
      <c r="U21" s="35">
        <v>2000.0</v>
      </c>
      <c r="V21" s="35" t="s">
        <v>332</v>
      </c>
    </row>
    <row r="22" ht="14.25" customHeight="1">
      <c r="C22" s="41">
        <v>16.0</v>
      </c>
      <c r="D22" s="49" t="s">
        <v>481</v>
      </c>
      <c r="E22" s="49" t="s">
        <v>355</v>
      </c>
      <c r="F22" s="49" t="s">
        <v>423</v>
      </c>
      <c r="G22" s="49" t="s">
        <v>502</v>
      </c>
      <c r="H22" s="49" t="s">
        <v>504</v>
      </c>
      <c r="I22" s="49">
        <v>289000.0</v>
      </c>
      <c r="J22" s="49">
        <v>272000.0</v>
      </c>
      <c r="K22" s="41">
        <f>I22-J22</f>
        <v>17000</v>
      </c>
      <c r="L22" s="41">
        <v>17000.0</v>
      </c>
    </row>
    <row r="23" ht="14.25" customHeight="1">
      <c r="C23" s="41">
        <v>17.0</v>
      </c>
      <c r="D23" s="49" t="s">
        <v>509</v>
      </c>
      <c r="E23" s="49" t="s">
        <v>355</v>
      </c>
      <c r="F23" s="49" t="s">
        <v>510</v>
      </c>
      <c r="G23" s="49" t="s">
        <v>447</v>
      </c>
      <c r="H23" s="49" t="s">
        <v>342</v>
      </c>
      <c r="I23" s="49" t="s">
        <v>511</v>
      </c>
      <c r="J23" s="68"/>
      <c r="T23" s="35" t="s">
        <v>355</v>
      </c>
      <c r="U23" s="35">
        <v>740.0</v>
      </c>
      <c r="V23" s="35" t="s">
        <v>513</v>
      </c>
      <c r="W23" s="35" t="s">
        <v>514</v>
      </c>
    </row>
    <row r="24" ht="14.25" customHeight="1">
      <c r="C24" s="41">
        <v>18.0</v>
      </c>
      <c r="D24" s="60" t="s">
        <v>516</v>
      </c>
      <c r="E24" s="60" t="s">
        <v>304</v>
      </c>
      <c r="F24" s="60" t="s">
        <v>518</v>
      </c>
      <c r="G24" s="60"/>
      <c r="H24" s="60" t="s">
        <v>492</v>
      </c>
      <c r="I24" s="60">
        <v>75000.0</v>
      </c>
      <c r="J24" s="60">
        <v>13000.0</v>
      </c>
      <c r="K24" s="41">
        <f>I24-J24</f>
        <v>62000</v>
      </c>
      <c r="L24" s="41">
        <f>K24/2</f>
        <v>31000</v>
      </c>
      <c r="R24" s="35" t="s">
        <v>304</v>
      </c>
      <c r="U24" s="35">
        <v>6350.0</v>
      </c>
      <c r="V24" s="35" t="s">
        <v>520</v>
      </c>
      <c r="W24" s="35" t="s">
        <v>521</v>
      </c>
    </row>
    <row r="25" ht="14.25" customHeight="1">
      <c r="C25" s="41">
        <v>19.0</v>
      </c>
      <c r="D25" s="68"/>
      <c r="E25" s="68"/>
      <c r="F25" s="68"/>
      <c r="G25" s="76"/>
      <c r="H25" s="68"/>
      <c r="I25" s="68"/>
      <c r="J25" s="68"/>
      <c r="R25" s="35" t="s">
        <v>304</v>
      </c>
      <c r="U25" s="35">
        <v>400.0</v>
      </c>
      <c r="V25" s="35" t="s">
        <v>522</v>
      </c>
    </row>
    <row r="26" ht="14.25" customHeight="1">
      <c r="C26" s="41">
        <v>20.0</v>
      </c>
      <c r="D26" s="68"/>
      <c r="E26" s="68"/>
      <c r="F26" s="68"/>
      <c r="G26" s="68"/>
      <c r="H26" s="68"/>
      <c r="I26" s="68"/>
      <c r="J26" s="68"/>
      <c r="T26" s="35" t="s">
        <v>355</v>
      </c>
      <c r="U26" s="35">
        <v>15000.0</v>
      </c>
      <c r="V26" s="35" t="s">
        <v>524</v>
      </c>
    </row>
    <row r="27" ht="14.25" customHeight="1">
      <c r="C27" s="41">
        <v>21.0</v>
      </c>
      <c r="D27" s="68"/>
      <c r="E27" s="68"/>
      <c r="F27" s="68"/>
      <c r="G27" s="68"/>
      <c r="H27" s="68"/>
      <c r="I27" s="68"/>
      <c r="J27" s="68"/>
    </row>
    <row r="28" ht="14.25" customHeight="1">
      <c r="C28" s="41">
        <v>22.0</v>
      </c>
      <c r="D28" s="68"/>
      <c r="E28" s="68"/>
      <c r="F28" s="68"/>
      <c r="G28" s="68"/>
      <c r="H28" s="68"/>
      <c r="I28" s="68"/>
      <c r="J28" s="68"/>
    </row>
    <row r="29" ht="14.25" customHeight="1">
      <c r="C29" s="41">
        <v>23.0</v>
      </c>
      <c r="D29" s="68"/>
      <c r="E29" s="68"/>
      <c r="F29" s="68"/>
      <c r="G29" s="68"/>
      <c r="H29" s="68"/>
      <c r="I29" s="68"/>
      <c r="J29" s="68"/>
    </row>
    <row r="30" ht="14.25" customHeight="1">
      <c r="C30" s="41">
        <v>24.0</v>
      </c>
      <c r="D30" s="68"/>
      <c r="E30" s="68"/>
      <c r="F30" s="68"/>
      <c r="G30" s="68"/>
      <c r="H30" s="68"/>
      <c r="I30" s="68"/>
      <c r="J30" s="68"/>
    </row>
    <row r="31" ht="14.25" customHeight="1">
      <c r="C31" s="41">
        <v>25.0</v>
      </c>
      <c r="D31" s="68"/>
      <c r="E31" s="68"/>
      <c r="F31" s="68"/>
      <c r="G31" s="68"/>
      <c r="H31" s="68"/>
      <c r="I31" s="68"/>
      <c r="J31" s="68"/>
    </row>
    <row r="32" ht="14.25" customHeight="1">
      <c r="C32" s="41">
        <v>26.0</v>
      </c>
      <c r="D32" s="68"/>
      <c r="E32" s="68"/>
      <c r="F32" s="68"/>
      <c r="G32" s="68"/>
      <c r="H32" s="68"/>
      <c r="I32" s="68"/>
      <c r="J32" s="68"/>
    </row>
    <row r="33" ht="14.25" customHeight="1">
      <c r="C33" s="41">
        <v>27.0</v>
      </c>
      <c r="D33" s="68"/>
      <c r="E33" s="68"/>
      <c r="F33" s="68"/>
      <c r="G33" s="68"/>
      <c r="H33" s="68"/>
      <c r="I33" s="68"/>
      <c r="J33" s="68"/>
    </row>
    <row r="34" ht="14.25" customHeight="1">
      <c r="C34" s="41">
        <v>28.0</v>
      </c>
      <c r="D34" s="68"/>
      <c r="E34" s="68"/>
      <c r="F34" s="68"/>
      <c r="G34" s="68"/>
      <c r="H34" s="68"/>
      <c r="I34" s="68"/>
      <c r="J34" s="68"/>
    </row>
    <row r="35" ht="14.25" customHeight="1">
      <c r="C35" s="41">
        <v>29.0</v>
      </c>
      <c r="D35" s="68"/>
      <c r="E35" s="68"/>
      <c r="F35" s="68"/>
      <c r="G35" s="68"/>
      <c r="H35" s="68"/>
      <c r="I35" s="68"/>
      <c r="J35" s="68"/>
    </row>
    <row r="36" ht="14.25" customHeight="1">
      <c r="C36" s="41">
        <v>30.0</v>
      </c>
      <c r="D36" s="68"/>
      <c r="E36" s="68"/>
      <c r="F36" s="68"/>
      <c r="G36" s="68"/>
      <c r="H36" s="68"/>
      <c r="I36" s="68"/>
      <c r="J36" s="68"/>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O13:Q14"/>
    <mergeCell ref="S13:T13"/>
    <mergeCell ref="I19:I20"/>
    <mergeCell ref="J19:J20"/>
    <mergeCell ref="E4:H5"/>
    <mergeCell ref="N8:Q8"/>
    <mergeCell ref="I13:I14"/>
    <mergeCell ref="J13:J14"/>
    <mergeCell ref="K13:K14"/>
    <mergeCell ref="L13:L14"/>
    <mergeCell ref="M13:M14"/>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13.86"/>
    <col customWidth="1" min="4" max="4" width="19.86"/>
    <col customWidth="1" min="5" max="5" width="7.57"/>
    <col customWidth="1" min="6" max="6" width="19.86"/>
    <col customWidth="1" min="7" max="7" width="14.14"/>
    <col customWidth="1" min="8" max="8" width="20.14"/>
    <col customWidth="1" min="9" max="9" width="14.57"/>
    <col customWidth="1" min="10" max="10" width="8.86"/>
    <col customWidth="1" min="11" max="11" width="22.86"/>
    <col customWidth="1" min="12" max="13" width="20.57"/>
    <col customWidth="1" min="14" max="14" width="15.86"/>
    <col customWidth="1" min="15" max="21" width="8.86"/>
    <col customWidth="1" min="22" max="22" width="13.14"/>
    <col customWidth="1" min="23" max="23" width="12.43"/>
    <col customWidth="1" min="24" max="24" width="9.86"/>
    <col customWidth="1" min="25" max="26" width="8.86"/>
  </cols>
  <sheetData>
    <row r="1" ht="13.5" customHeight="1">
      <c r="A1" s="77"/>
      <c r="B1" s="77"/>
      <c r="C1" s="77"/>
      <c r="D1" s="77"/>
      <c r="E1" s="77"/>
      <c r="F1" s="77"/>
      <c r="G1" s="77"/>
      <c r="H1" s="77"/>
      <c r="I1" s="77"/>
      <c r="J1" s="77"/>
      <c r="K1" s="77"/>
      <c r="L1" s="77"/>
      <c r="M1" s="77"/>
      <c r="N1" s="77"/>
      <c r="O1" s="77"/>
      <c r="P1" s="77"/>
      <c r="Q1" s="77"/>
      <c r="R1" s="77"/>
      <c r="S1" s="77"/>
      <c r="T1" s="77"/>
      <c r="U1" s="77"/>
      <c r="V1" s="77"/>
      <c r="W1" s="77"/>
      <c r="X1" s="77"/>
      <c r="Y1" s="77"/>
      <c r="Z1" s="77"/>
    </row>
    <row r="2" ht="13.5" customHeight="1">
      <c r="A2" s="77"/>
      <c r="B2" s="77"/>
      <c r="C2" s="77"/>
      <c r="D2" s="77"/>
      <c r="E2" s="78" t="s">
        <v>608</v>
      </c>
      <c r="F2" s="79"/>
      <c r="G2" s="79"/>
      <c r="H2" s="79"/>
      <c r="I2" s="80"/>
      <c r="J2" s="77"/>
      <c r="K2" s="77"/>
      <c r="L2" s="77"/>
      <c r="M2" s="77"/>
      <c r="N2" s="77"/>
      <c r="O2" s="77"/>
      <c r="P2" s="77"/>
      <c r="Q2" s="77"/>
      <c r="R2" s="77"/>
      <c r="S2" s="77"/>
      <c r="T2" s="77"/>
      <c r="U2" s="77"/>
      <c r="V2" s="77"/>
      <c r="W2" s="77"/>
      <c r="X2" s="77"/>
      <c r="Y2" s="77"/>
      <c r="Z2" s="77"/>
    </row>
    <row r="3" ht="13.5" customHeight="1">
      <c r="A3" s="77"/>
      <c r="B3" s="77"/>
      <c r="C3" s="77"/>
      <c r="D3" s="77"/>
      <c r="E3" s="81"/>
      <c r="I3" s="82"/>
      <c r="J3" s="77"/>
      <c r="K3" s="77"/>
      <c r="L3" s="77"/>
      <c r="M3" s="77"/>
      <c r="N3" s="77"/>
      <c r="O3" s="77"/>
      <c r="P3" s="77"/>
      <c r="Q3" s="77"/>
      <c r="R3" s="77"/>
      <c r="S3" s="77"/>
      <c r="T3" s="77"/>
      <c r="U3" s="77"/>
      <c r="V3" s="77"/>
      <c r="W3" s="77"/>
      <c r="X3" s="77"/>
      <c r="Y3" s="77"/>
      <c r="Z3" s="77"/>
    </row>
    <row r="4" ht="13.5" customHeight="1">
      <c r="A4" s="77"/>
      <c r="B4" s="77"/>
      <c r="C4" s="77"/>
      <c r="D4" s="77"/>
      <c r="E4" s="83"/>
      <c r="F4" s="84"/>
      <c r="G4" s="84"/>
      <c r="H4" s="84"/>
      <c r="I4" s="85"/>
      <c r="J4" s="77"/>
      <c r="K4" s="77"/>
      <c r="L4" s="77"/>
      <c r="M4" s="77"/>
      <c r="N4" s="77"/>
      <c r="O4" s="77"/>
      <c r="P4" s="77"/>
      <c r="Q4" s="77"/>
      <c r="R4" s="77"/>
      <c r="S4" s="77"/>
      <c r="T4" s="86" t="s">
        <v>615</v>
      </c>
      <c r="U4" s="79"/>
      <c r="V4" s="79"/>
      <c r="W4" s="79"/>
      <c r="X4" s="80"/>
      <c r="Y4" s="77"/>
      <c r="Z4" s="77"/>
    </row>
    <row r="5" ht="13.5" customHeight="1">
      <c r="A5" s="77"/>
      <c r="B5" s="77"/>
      <c r="C5" s="77"/>
      <c r="D5" s="77"/>
      <c r="E5" s="77"/>
      <c r="F5" s="77"/>
      <c r="G5" s="77"/>
      <c r="H5" s="77"/>
      <c r="I5" s="77"/>
      <c r="J5" s="77"/>
      <c r="K5" s="77"/>
      <c r="L5" s="77"/>
      <c r="M5" s="77"/>
      <c r="N5" s="77"/>
      <c r="O5" s="77"/>
      <c r="P5" s="77"/>
      <c r="Q5" s="77"/>
      <c r="R5" s="77"/>
      <c r="S5" s="77"/>
      <c r="T5" s="83"/>
      <c r="U5" s="84"/>
      <c r="V5" s="84"/>
      <c r="W5" s="84"/>
      <c r="X5" s="85"/>
      <c r="Y5" s="77"/>
      <c r="Z5" s="77"/>
    </row>
    <row r="6" ht="13.5" customHeight="1">
      <c r="A6" s="77"/>
      <c r="B6" s="77"/>
      <c r="C6" s="56" t="s">
        <v>293</v>
      </c>
      <c r="D6" s="48" t="s">
        <v>295</v>
      </c>
      <c r="E6" s="48" t="s">
        <v>296</v>
      </c>
      <c r="F6" s="48" t="s">
        <v>297</v>
      </c>
      <c r="G6" s="48" t="s">
        <v>298</v>
      </c>
      <c r="H6" s="48" t="s">
        <v>299</v>
      </c>
      <c r="I6" s="48" t="s">
        <v>619</v>
      </c>
      <c r="J6" s="57" t="s">
        <v>301</v>
      </c>
      <c r="K6" s="57" t="s">
        <v>621</v>
      </c>
      <c r="L6" s="57" t="s">
        <v>405</v>
      </c>
      <c r="M6" s="87" t="s">
        <v>622</v>
      </c>
      <c r="N6" s="88" t="s">
        <v>624</v>
      </c>
      <c r="O6" s="89"/>
      <c r="P6" s="89"/>
      <c r="Q6" s="89"/>
      <c r="R6" s="77"/>
      <c r="S6" s="77"/>
      <c r="T6" s="77"/>
      <c r="U6" s="77"/>
      <c r="V6" s="77"/>
      <c r="W6" s="77"/>
      <c r="X6" s="77"/>
      <c r="Y6" s="77"/>
      <c r="Z6" s="77"/>
    </row>
    <row r="7" ht="13.5" customHeight="1">
      <c r="A7" s="77"/>
      <c r="B7" s="77"/>
      <c r="C7" s="41">
        <v>1.0</v>
      </c>
      <c r="D7" s="51" t="s">
        <v>627</v>
      </c>
      <c r="E7" s="62" t="s">
        <v>355</v>
      </c>
      <c r="F7" s="62" t="s">
        <v>261</v>
      </c>
      <c r="G7" s="62" t="s">
        <v>502</v>
      </c>
      <c r="H7" s="62" t="s">
        <v>504</v>
      </c>
      <c r="I7" s="62">
        <v>47000.0</v>
      </c>
      <c r="J7" s="62">
        <v>45500.0</v>
      </c>
      <c r="K7" s="90" t="s">
        <v>631</v>
      </c>
      <c r="L7" s="90">
        <v>1500.0</v>
      </c>
      <c r="M7" s="90">
        <v>1500.0</v>
      </c>
      <c r="N7" s="91" t="s">
        <v>632</v>
      </c>
      <c r="O7" s="92"/>
      <c r="P7" s="92"/>
      <c r="Q7" s="92"/>
      <c r="R7" s="77"/>
      <c r="S7" s="77"/>
      <c r="T7" s="77"/>
      <c r="U7" s="77" t="s">
        <v>636</v>
      </c>
      <c r="V7" s="77" t="s">
        <v>637</v>
      </c>
      <c r="W7" s="77" t="s">
        <v>638</v>
      </c>
      <c r="X7" s="77" t="s">
        <v>639</v>
      </c>
      <c r="Y7" s="77"/>
      <c r="Z7" s="77"/>
    </row>
    <row r="8" ht="13.5" customHeight="1">
      <c r="A8" s="77"/>
      <c r="B8" s="77"/>
      <c r="C8" s="41">
        <v>2.0</v>
      </c>
      <c r="D8" s="51" t="s">
        <v>641</v>
      </c>
      <c r="E8" s="49" t="s">
        <v>355</v>
      </c>
      <c r="F8" s="49" t="s">
        <v>642</v>
      </c>
      <c r="G8" s="49" t="s">
        <v>643</v>
      </c>
      <c r="H8" s="49" t="s">
        <v>270</v>
      </c>
      <c r="I8" s="49">
        <v>3500.0</v>
      </c>
      <c r="J8" s="49">
        <v>2500.0</v>
      </c>
      <c r="K8" s="67" t="s">
        <v>644</v>
      </c>
      <c r="L8" s="67">
        <v>1000.0</v>
      </c>
      <c r="M8" s="67">
        <v>1000.0</v>
      </c>
      <c r="N8" s="91" t="s">
        <v>632</v>
      </c>
      <c r="O8" s="89"/>
      <c r="P8" s="89"/>
      <c r="Q8" s="89"/>
      <c r="R8" s="77"/>
      <c r="S8" s="77"/>
      <c r="T8" s="77"/>
      <c r="U8" s="77">
        <v>1000.0</v>
      </c>
      <c r="V8" s="77" t="s">
        <v>645</v>
      </c>
      <c r="W8" s="77" t="s">
        <v>355</v>
      </c>
      <c r="X8" s="77" t="s">
        <v>646</v>
      </c>
      <c r="Y8" s="77"/>
      <c r="Z8" s="77"/>
    </row>
    <row r="9" ht="13.5" customHeight="1">
      <c r="A9" s="77"/>
      <c r="B9" s="77"/>
      <c r="C9" s="41">
        <v>4.0</v>
      </c>
      <c r="D9" s="51" t="s">
        <v>641</v>
      </c>
      <c r="E9" s="49" t="s">
        <v>355</v>
      </c>
      <c r="F9" s="49" t="s">
        <v>642</v>
      </c>
      <c r="G9" s="49" t="s">
        <v>647</v>
      </c>
      <c r="H9" s="49" t="s">
        <v>648</v>
      </c>
      <c r="I9" s="49">
        <v>4500.0</v>
      </c>
      <c r="J9" s="49">
        <v>3000.0</v>
      </c>
      <c r="K9" s="67" t="s">
        <v>649</v>
      </c>
      <c r="L9" s="67">
        <v>1500.0</v>
      </c>
      <c r="M9" s="67">
        <v>1500.0</v>
      </c>
      <c r="N9" s="91" t="s">
        <v>632</v>
      </c>
      <c r="O9" s="92"/>
      <c r="P9" s="92"/>
      <c r="Q9" s="92"/>
      <c r="R9" s="77"/>
      <c r="S9" s="77"/>
      <c r="T9" s="77"/>
      <c r="U9" s="77">
        <v>1000.0</v>
      </c>
      <c r="V9" s="77" t="s">
        <v>650</v>
      </c>
      <c r="W9" s="77" t="s">
        <v>304</v>
      </c>
      <c r="X9" s="77" t="s">
        <v>651</v>
      </c>
      <c r="Y9" s="77"/>
      <c r="Z9" s="77"/>
    </row>
    <row r="10" ht="13.5" customHeight="1">
      <c r="A10" s="77"/>
      <c r="B10" s="77"/>
      <c r="C10" s="41">
        <v>5.0</v>
      </c>
      <c r="D10" s="51" t="s">
        <v>652</v>
      </c>
      <c r="E10" s="49" t="s">
        <v>304</v>
      </c>
      <c r="F10" s="49" t="s">
        <v>278</v>
      </c>
      <c r="G10" s="49" t="s">
        <v>471</v>
      </c>
      <c r="H10" s="49" t="s">
        <v>316</v>
      </c>
      <c r="I10" s="49">
        <v>17000.0</v>
      </c>
      <c r="J10" s="49">
        <v>8500.0</v>
      </c>
      <c r="K10" s="67" t="s">
        <v>653</v>
      </c>
      <c r="L10" s="67">
        <v>8500.0</v>
      </c>
      <c r="M10" s="67">
        <v>4250.0</v>
      </c>
      <c r="N10" s="91" t="s">
        <v>654</v>
      </c>
      <c r="O10" s="89"/>
      <c r="P10" s="89"/>
      <c r="Q10" s="89"/>
      <c r="R10" s="77"/>
      <c r="S10" s="77"/>
      <c r="T10" s="77"/>
      <c r="U10" s="77">
        <v>2790.0</v>
      </c>
      <c r="V10" s="77" t="s">
        <v>655</v>
      </c>
      <c r="W10" s="77" t="s">
        <v>355</v>
      </c>
      <c r="X10" s="77" t="s">
        <v>656</v>
      </c>
      <c r="Y10" s="77"/>
      <c r="Z10" s="77"/>
    </row>
    <row r="11" ht="13.5" customHeight="1">
      <c r="A11" s="77"/>
      <c r="B11" s="77"/>
      <c r="C11" s="41">
        <v>7.0</v>
      </c>
      <c r="D11" s="93" t="s">
        <v>657</v>
      </c>
      <c r="E11" s="49" t="s">
        <v>304</v>
      </c>
      <c r="F11" s="49" t="s">
        <v>658</v>
      </c>
      <c r="G11" s="49" t="s">
        <v>304</v>
      </c>
      <c r="H11" s="49" t="s">
        <v>659</v>
      </c>
      <c r="I11" s="62">
        <v>30000.0</v>
      </c>
      <c r="J11" s="49">
        <v>5125.0</v>
      </c>
      <c r="K11" s="94" t="s">
        <v>653</v>
      </c>
      <c r="L11" s="95">
        <f t="shared" ref="L11:L13" si="1">I11-J11</f>
        <v>24875</v>
      </c>
      <c r="M11" s="95">
        <f t="shared" ref="M11:M14" si="2">L11/2</f>
        <v>12437.5</v>
      </c>
      <c r="N11" s="91" t="s">
        <v>654</v>
      </c>
      <c r="O11" s="97"/>
      <c r="P11" s="97"/>
      <c r="Q11" s="97"/>
      <c r="R11" s="77"/>
      <c r="S11" s="77"/>
      <c r="T11" s="77"/>
      <c r="U11" s="77">
        <v>4309.0</v>
      </c>
      <c r="V11" s="77" t="s">
        <v>661</v>
      </c>
      <c r="W11" s="77" t="s">
        <v>355</v>
      </c>
      <c r="X11" s="77" t="s">
        <v>662</v>
      </c>
      <c r="Y11" s="77"/>
      <c r="Z11" s="77"/>
    </row>
    <row r="12" ht="13.5" customHeight="1">
      <c r="A12" s="77"/>
      <c r="B12" s="77"/>
      <c r="C12" s="41">
        <v>8.0</v>
      </c>
      <c r="D12" s="51" t="s">
        <v>663</v>
      </c>
      <c r="E12" s="49" t="s">
        <v>304</v>
      </c>
      <c r="F12" s="49" t="s">
        <v>658</v>
      </c>
      <c r="G12" s="49" t="s">
        <v>304</v>
      </c>
      <c r="H12" s="49" t="s">
        <v>659</v>
      </c>
      <c r="I12" s="62">
        <v>30000.0</v>
      </c>
      <c r="J12" s="49">
        <v>5125.0</v>
      </c>
      <c r="K12" s="94" t="s">
        <v>653</v>
      </c>
      <c r="L12" s="95">
        <f t="shared" si="1"/>
        <v>24875</v>
      </c>
      <c r="M12" s="67">
        <f t="shared" si="2"/>
        <v>12437.5</v>
      </c>
      <c r="N12" s="91" t="s">
        <v>654</v>
      </c>
      <c r="O12" s="97"/>
      <c r="P12" s="97"/>
      <c r="Q12" s="97"/>
      <c r="R12" s="77"/>
      <c r="S12" s="77"/>
      <c r="T12" s="77"/>
      <c r="U12" s="77">
        <v>17000.0</v>
      </c>
      <c r="V12" s="77" t="s">
        <v>474</v>
      </c>
      <c r="W12" s="77" t="s">
        <v>355</v>
      </c>
      <c r="X12" s="77" t="s">
        <v>664</v>
      </c>
      <c r="Y12" s="77"/>
      <c r="Z12" s="77"/>
    </row>
    <row r="13" ht="13.5" customHeight="1">
      <c r="A13" s="77"/>
      <c r="B13" s="77"/>
      <c r="C13" s="41">
        <v>9.0</v>
      </c>
      <c r="D13" s="51" t="s">
        <v>665</v>
      </c>
      <c r="E13" s="62" t="s">
        <v>304</v>
      </c>
      <c r="F13" s="62" t="s">
        <v>666</v>
      </c>
      <c r="G13" s="62" t="s">
        <v>460</v>
      </c>
      <c r="H13" s="62" t="s">
        <v>667</v>
      </c>
      <c r="I13" s="62">
        <v>25000.0</v>
      </c>
      <c r="J13" s="62">
        <v>15625.0</v>
      </c>
      <c r="K13" s="49" t="s">
        <v>653</v>
      </c>
      <c r="L13" s="49">
        <f t="shared" si="1"/>
        <v>9375</v>
      </c>
      <c r="M13" s="49">
        <f t="shared" si="2"/>
        <v>4687.5</v>
      </c>
      <c r="N13" s="91" t="s">
        <v>654</v>
      </c>
      <c r="O13" s="89"/>
      <c r="P13" s="89"/>
      <c r="Q13" s="89"/>
      <c r="R13" s="77"/>
      <c r="S13" s="77"/>
      <c r="T13" s="77"/>
      <c r="U13" s="77">
        <v>26099.0</v>
      </c>
      <c r="V13" s="77" t="s">
        <v>668</v>
      </c>
      <c r="W13" s="77"/>
      <c r="X13" s="77"/>
      <c r="Y13" s="77"/>
      <c r="Z13" s="77"/>
    </row>
    <row r="14" ht="13.5" customHeight="1">
      <c r="A14" s="77"/>
      <c r="B14" s="77"/>
      <c r="C14" s="41">
        <v>10.0</v>
      </c>
      <c r="D14" s="51" t="s">
        <v>669</v>
      </c>
      <c r="E14" s="49" t="s">
        <v>304</v>
      </c>
      <c r="F14" s="49" t="s">
        <v>670</v>
      </c>
      <c r="G14" s="49" t="s">
        <v>304</v>
      </c>
      <c r="H14" s="49" t="s">
        <v>671</v>
      </c>
      <c r="I14" s="49">
        <v>30000.0</v>
      </c>
      <c r="J14" s="49">
        <v>5125.0</v>
      </c>
      <c r="K14" s="49" t="s">
        <v>653</v>
      </c>
      <c r="L14" s="49">
        <v>24875.0</v>
      </c>
      <c r="M14" s="49">
        <f t="shared" si="2"/>
        <v>12437.5</v>
      </c>
      <c r="N14" s="91" t="s">
        <v>654</v>
      </c>
      <c r="O14" s="89"/>
      <c r="P14" s="89"/>
      <c r="Q14" s="89"/>
      <c r="R14" s="77"/>
      <c r="S14" s="77"/>
      <c r="T14" s="77"/>
      <c r="U14" s="77">
        <f>U13*40/100</f>
        <v>10439.6</v>
      </c>
      <c r="V14" s="77"/>
      <c r="W14" s="77"/>
      <c r="X14" s="77"/>
      <c r="Y14" s="77"/>
      <c r="Z14" s="77"/>
    </row>
    <row r="15" ht="13.5" customHeight="1">
      <c r="A15" s="77"/>
      <c r="B15" s="77"/>
      <c r="C15" s="41">
        <v>11.0</v>
      </c>
      <c r="D15" s="51" t="s">
        <v>672</v>
      </c>
      <c r="E15" s="49" t="s">
        <v>355</v>
      </c>
      <c r="F15" s="49" t="s">
        <v>412</v>
      </c>
      <c r="G15" s="49" t="s">
        <v>460</v>
      </c>
      <c r="H15" s="49" t="s">
        <v>673</v>
      </c>
      <c r="I15" s="49">
        <v>140000.0</v>
      </c>
      <c r="J15" s="49">
        <v>75000.0</v>
      </c>
      <c r="K15" s="49" t="s">
        <v>674</v>
      </c>
      <c r="L15" s="49">
        <v>65000.0</v>
      </c>
      <c r="M15" s="49"/>
      <c r="N15" s="91" t="s">
        <v>632</v>
      </c>
      <c r="O15" s="89"/>
      <c r="P15" s="89"/>
      <c r="Q15" s="89"/>
      <c r="R15" s="77"/>
      <c r="S15" s="77"/>
      <c r="T15" s="77"/>
      <c r="U15" s="77"/>
      <c r="V15" s="77"/>
      <c r="W15" s="77"/>
      <c r="X15" s="77"/>
      <c r="Y15" s="77"/>
      <c r="Z15" s="77"/>
    </row>
    <row r="16" ht="13.5" customHeight="1">
      <c r="A16" s="77"/>
      <c r="B16" s="77"/>
      <c r="C16" s="41">
        <v>12.0</v>
      </c>
      <c r="D16" s="51" t="s">
        <v>675</v>
      </c>
      <c r="E16" s="49" t="s">
        <v>355</v>
      </c>
      <c r="F16" s="49" t="s">
        <v>412</v>
      </c>
      <c r="G16" s="49" t="s">
        <v>460</v>
      </c>
      <c r="H16" s="49" t="s">
        <v>673</v>
      </c>
      <c r="I16" s="49">
        <v>140000.0</v>
      </c>
      <c r="J16" s="49">
        <v>75000.0</v>
      </c>
      <c r="K16" s="49" t="s">
        <v>674</v>
      </c>
      <c r="L16" s="49">
        <v>65000.0</v>
      </c>
      <c r="M16" s="49"/>
      <c r="N16" s="91" t="s">
        <v>632</v>
      </c>
      <c r="O16" s="89"/>
      <c r="P16" s="89"/>
      <c r="Q16" s="89"/>
      <c r="R16" s="77"/>
      <c r="S16" s="77"/>
      <c r="T16" s="77"/>
      <c r="U16" s="77"/>
      <c r="V16" s="77"/>
      <c r="W16" s="77"/>
      <c r="X16" s="77"/>
      <c r="Y16" s="77"/>
      <c r="Z16" s="77"/>
    </row>
    <row r="17" ht="13.5" customHeight="1">
      <c r="A17" s="77"/>
      <c r="B17" s="77"/>
      <c r="C17" s="41">
        <v>13.0</v>
      </c>
      <c r="D17" s="51" t="s">
        <v>676</v>
      </c>
      <c r="E17" s="49" t="s">
        <v>355</v>
      </c>
      <c r="F17" s="49" t="s">
        <v>278</v>
      </c>
      <c r="G17" s="49" t="s">
        <v>502</v>
      </c>
      <c r="H17" s="49" t="s">
        <v>504</v>
      </c>
      <c r="I17" s="98">
        <v>155400.0</v>
      </c>
      <c r="J17" s="99">
        <v>138500.0</v>
      </c>
      <c r="K17" s="49" t="s">
        <v>674</v>
      </c>
      <c r="L17" s="49">
        <f t="shared" ref="L17:L18" si="3">I17-J17</f>
        <v>16900</v>
      </c>
      <c r="M17" s="49">
        <v>16900.0</v>
      </c>
      <c r="N17" s="91"/>
      <c r="O17" s="89"/>
      <c r="P17" s="89"/>
      <c r="Q17" s="89"/>
      <c r="R17" s="77"/>
      <c r="S17" s="77"/>
      <c r="T17" s="77"/>
      <c r="U17" s="77"/>
      <c r="V17" s="77"/>
      <c r="W17" s="77"/>
      <c r="X17" s="77"/>
      <c r="Y17" s="77"/>
      <c r="Z17" s="77"/>
    </row>
    <row r="18" ht="13.5" customHeight="1">
      <c r="A18" s="77"/>
      <c r="B18" s="77"/>
      <c r="C18" s="41">
        <v>14.0</v>
      </c>
      <c r="D18" s="51" t="s">
        <v>677</v>
      </c>
      <c r="E18" s="49" t="s">
        <v>355</v>
      </c>
      <c r="F18" s="49" t="s">
        <v>278</v>
      </c>
      <c r="G18" s="68" t="s">
        <v>502</v>
      </c>
      <c r="H18" s="49" t="s">
        <v>504</v>
      </c>
      <c r="I18" s="62">
        <v>155400.0</v>
      </c>
      <c r="J18" s="99">
        <v>138500.0</v>
      </c>
      <c r="K18" s="49" t="s">
        <v>674</v>
      </c>
      <c r="L18" s="49">
        <f t="shared" si="3"/>
        <v>16900</v>
      </c>
      <c r="M18" s="49">
        <v>16900.0</v>
      </c>
      <c r="N18" s="91"/>
      <c r="O18" s="89"/>
      <c r="P18" s="89"/>
      <c r="Q18" s="89"/>
      <c r="R18" s="77"/>
      <c r="S18" s="77"/>
      <c r="T18" s="77"/>
      <c r="U18" s="77"/>
      <c r="V18" s="77"/>
      <c r="W18" s="77"/>
      <c r="X18" s="77"/>
      <c r="Y18" s="77"/>
      <c r="Z18" s="77"/>
    </row>
    <row r="19" ht="13.5" customHeight="1">
      <c r="A19" s="77"/>
      <c r="B19" s="77"/>
      <c r="C19" s="41">
        <v>15.0</v>
      </c>
      <c r="D19" s="51"/>
      <c r="E19" s="49"/>
      <c r="F19" s="49"/>
      <c r="G19" s="49"/>
      <c r="H19" s="49"/>
      <c r="I19" s="49"/>
      <c r="J19" s="49"/>
      <c r="K19" s="49"/>
      <c r="L19" s="49"/>
      <c r="M19" s="49"/>
      <c r="N19" s="91"/>
      <c r="O19" s="89"/>
      <c r="P19" s="89"/>
      <c r="Q19" s="89"/>
      <c r="R19" s="77"/>
      <c r="S19" s="77"/>
      <c r="T19" s="77"/>
      <c r="U19" s="77"/>
      <c r="V19" s="77"/>
      <c r="W19" s="77"/>
      <c r="X19" s="77"/>
      <c r="Y19" s="77"/>
      <c r="Z19" s="77"/>
    </row>
    <row r="20" ht="13.5" customHeight="1">
      <c r="A20" s="77"/>
      <c r="B20" s="77"/>
      <c r="C20" s="41">
        <v>16.0</v>
      </c>
      <c r="D20" s="51"/>
      <c r="E20" s="49"/>
      <c r="F20" s="49"/>
      <c r="G20" s="49"/>
      <c r="H20" s="49"/>
      <c r="I20" s="49"/>
      <c r="J20" s="49"/>
      <c r="K20" s="68"/>
      <c r="L20" s="68"/>
      <c r="M20" s="68"/>
      <c r="N20" s="100"/>
      <c r="O20" s="101"/>
      <c r="P20" s="101"/>
      <c r="Q20" s="101"/>
      <c r="R20" s="77"/>
      <c r="S20" s="77"/>
      <c r="T20" s="77"/>
      <c r="U20" s="77"/>
      <c r="V20" s="77"/>
      <c r="W20" s="77"/>
      <c r="X20" s="77"/>
      <c r="Y20" s="77"/>
      <c r="Z20" s="77"/>
    </row>
    <row r="21" ht="13.5" customHeight="1">
      <c r="A21" s="77"/>
      <c r="B21" s="77"/>
      <c r="C21" s="41">
        <v>17.0</v>
      </c>
      <c r="D21" s="51"/>
      <c r="E21" s="49"/>
      <c r="F21" s="49"/>
      <c r="G21" s="49"/>
      <c r="H21" s="49"/>
      <c r="I21" s="49"/>
      <c r="J21" s="68"/>
      <c r="K21" s="68"/>
      <c r="L21" s="68"/>
      <c r="M21" s="68"/>
      <c r="N21" s="100"/>
      <c r="O21" s="101"/>
      <c r="P21" s="101"/>
      <c r="Q21" s="101"/>
      <c r="R21" s="77"/>
      <c r="S21" s="77"/>
      <c r="T21" s="77"/>
      <c r="U21" s="77"/>
      <c r="V21" s="77"/>
      <c r="W21" s="77"/>
      <c r="X21" s="77"/>
      <c r="Y21" s="77"/>
      <c r="Z21" s="77"/>
    </row>
    <row r="22" ht="13.5" customHeight="1">
      <c r="A22" s="77"/>
      <c r="B22" s="77"/>
      <c r="C22" s="41">
        <v>18.0</v>
      </c>
      <c r="D22" s="51"/>
      <c r="E22" s="49"/>
      <c r="F22" s="49"/>
      <c r="G22" s="49"/>
      <c r="H22" s="49"/>
      <c r="I22" s="49"/>
      <c r="J22" s="68"/>
      <c r="K22" s="68"/>
      <c r="L22" s="68"/>
      <c r="M22" s="68"/>
      <c r="N22" s="100"/>
      <c r="O22" s="101"/>
      <c r="P22" s="101"/>
      <c r="Q22" s="101"/>
      <c r="R22" s="77"/>
      <c r="S22" s="77"/>
      <c r="T22" s="77"/>
      <c r="U22" s="77"/>
      <c r="V22" s="77"/>
      <c r="W22" s="77"/>
      <c r="X22" s="77"/>
      <c r="Y22" s="77"/>
      <c r="Z22" s="77"/>
    </row>
    <row r="23" ht="13.5" customHeight="1">
      <c r="A23" s="77"/>
      <c r="B23" s="77"/>
      <c r="C23" s="41">
        <v>19.0</v>
      </c>
      <c r="D23" s="102"/>
      <c r="E23" s="68"/>
      <c r="F23" s="68"/>
      <c r="G23" s="76"/>
      <c r="H23" s="103" t="s">
        <v>678</v>
      </c>
      <c r="I23" s="104"/>
      <c r="J23" s="105"/>
      <c r="K23" s="68"/>
      <c r="L23" s="68"/>
      <c r="M23" s="68"/>
      <c r="N23" s="100"/>
      <c r="O23" s="101"/>
      <c r="P23" s="101"/>
      <c r="Q23" s="101"/>
      <c r="R23" s="77"/>
      <c r="S23" s="77"/>
      <c r="T23" s="77"/>
      <c r="U23" s="77"/>
      <c r="V23" s="77"/>
      <c r="W23" s="77"/>
      <c r="X23" s="77"/>
      <c r="Y23" s="77"/>
      <c r="Z23" s="77"/>
    </row>
    <row r="24" ht="13.5" customHeight="1">
      <c r="A24" s="77"/>
      <c r="B24" s="77"/>
      <c r="C24" s="41">
        <v>20.0</v>
      </c>
      <c r="D24" s="102"/>
      <c r="E24" s="68"/>
      <c r="F24" s="68"/>
      <c r="G24" s="68"/>
      <c r="H24" s="106"/>
      <c r="I24" s="107"/>
      <c r="J24" s="108"/>
      <c r="K24" s="68"/>
      <c r="L24" s="68"/>
      <c r="M24" s="68"/>
      <c r="N24" s="100"/>
      <c r="O24" s="101"/>
      <c r="P24" s="101"/>
      <c r="Q24" s="101"/>
      <c r="R24" s="77"/>
      <c r="S24" s="77"/>
      <c r="T24" s="77"/>
      <c r="U24" s="77"/>
      <c r="V24" s="77"/>
      <c r="W24" s="77"/>
      <c r="X24" s="77"/>
      <c r="Y24" s="77"/>
      <c r="Z24" s="77"/>
    </row>
    <row r="25" ht="13.5" customHeight="1">
      <c r="A25" s="77"/>
      <c r="B25" s="77"/>
      <c r="C25" s="41">
        <v>21.0</v>
      </c>
      <c r="D25" s="102"/>
      <c r="E25" s="68"/>
      <c r="F25" s="68"/>
      <c r="G25" s="68"/>
      <c r="H25" s="68"/>
      <c r="I25" s="68"/>
      <c r="J25" s="68"/>
      <c r="K25" s="68"/>
      <c r="L25" s="68"/>
      <c r="M25" s="68"/>
      <c r="N25" s="100"/>
      <c r="O25" s="101"/>
      <c r="P25" s="101"/>
      <c r="Q25" s="101"/>
      <c r="R25" s="77"/>
      <c r="S25" s="77"/>
      <c r="T25" s="77"/>
      <c r="U25" s="77"/>
      <c r="V25" s="77"/>
      <c r="W25" s="77"/>
      <c r="X25" s="77"/>
      <c r="Y25" s="77"/>
      <c r="Z25" s="77"/>
    </row>
    <row r="26" ht="13.5" customHeight="1">
      <c r="A26" s="77"/>
      <c r="B26" s="77"/>
      <c r="C26" s="41">
        <v>22.0</v>
      </c>
      <c r="D26" s="102"/>
      <c r="E26" s="68"/>
      <c r="F26" s="68"/>
      <c r="G26" s="68"/>
      <c r="H26" s="110" t="s">
        <v>679</v>
      </c>
      <c r="I26" s="91">
        <v>92496.0</v>
      </c>
      <c r="J26" s="68"/>
      <c r="K26" s="68"/>
      <c r="L26" s="68"/>
      <c r="M26" s="68"/>
      <c r="N26" s="100"/>
      <c r="O26" s="101"/>
      <c r="P26" s="101"/>
      <c r="Q26" s="101"/>
      <c r="R26" s="77"/>
      <c r="S26" s="77"/>
      <c r="T26" s="77"/>
      <c r="U26" s="77"/>
      <c r="V26" s="77"/>
      <c r="W26" s="77"/>
      <c r="X26" s="77"/>
      <c r="Y26" s="77"/>
      <c r="Z26" s="77"/>
    </row>
    <row r="27" ht="13.5" customHeight="1">
      <c r="A27" s="77"/>
      <c r="B27" s="77"/>
      <c r="C27" s="41">
        <v>23.0</v>
      </c>
      <c r="D27" s="102"/>
      <c r="E27" s="68"/>
      <c r="F27" s="68"/>
      <c r="G27" s="68"/>
      <c r="H27" s="110" t="s">
        <v>304</v>
      </c>
      <c r="I27" s="91">
        <v>46248.0</v>
      </c>
      <c r="J27" s="68"/>
      <c r="K27" s="68"/>
      <c r="L27" s="68"/>
      <c r="M27" s="68"/>
      <c r="N27" s="100"/>
      <c r="O27" s="101"/>
      <c r="P27" s="101"/>
      <c r="Q27" s="101"/>
      <c r="R27" s="77"/>
      <c r="S27" s="77"/>
      <c r="T27" s="77"/>
      <c r="U27" s="77"/>
      <c r="V27" s="77"/>
      <c r="W27" s="77"/>
      <c r="X27" s="77"/>
      <c r="Y27" s="77"/>
      <c r="Z27" s="77"/>
    </row>
    <row r="28" ht="13.5" customHeight="1">
      <c r="A28" s="77"/>
      <c r="B28" s="77"/>
      <c r="C28" s="41">
        <v>24.0</v>
      </c>
      <c r="D28" s="102"/>
      <c r="E28" s="68"/>
      <c r="F28" s="68"/>
      <c r="G28" s="68"/>
      <c r="H28" s="110" t="s">
        <v>355</v>
      </c>
      <c r="I28" s="91">
        <v>46248.0</v>
      </c>
      <c r="J28" s="68"/>
      <c r="K28" s="68"/>
      <c r="L28" s="68"/>
      <c r="M28" s="68"/>
      <c r="N28" s="100"/>
      <c r="O28" s="101"/>
      <c r="P28" s="101"/>
      <c r="Q28" s="101"/>
      <c r="R28" s="77"/>
      <c r="S28" s="77"/>
      <c r="T28" s="77"/>
      <c r="U28" s="77"/>
      <c r="V28" s="77"/>
      <c r="W28" s="77"/>
      <c r="X28" s="77"/>
      <c r="Y28" s="77"/>
      <c r="Z28" s="77"/>
    </row>
    <row r="29" ht="13.5" customHeight="1">
      <c r="A29" s="77"/>
      <c r="B29" s="77"/>
      <c r="C29" s="41">
        <v>25.0</v>
      </c>
      <c r="D29" s="102"/>
      <c r="E29" s="68"/>
      <c r="F29" s="68"/>
      <c r="G29" s="68"/>
      <c r="H29" s="110"/>
      <c r="I29" s="68"/>
      <c r="J29" s="68"/>
      <c r="K29" s="68"/>
      <c r="L29" s="68"/>
      <c r="M29" s="68"/>
      <c r="N29" s="100"/>
      <c r="O29" s="101"/>
      <c r="P29" s="101"/>
      <c r="Q29" s="101"/>
      <c r="R29" s="77"/>
      <c r="S29" s="77"/>
      <c r="T29" s="77"/>
      <c r="U29" s="77"/>
      <c r="V29" s="77"/>
      <c r="W29" s="77"/>
      <c r="X29" s="77"/>
      <c r="Y29" s="77"/>
      <c r="Z29" s="77"/>
    </row>
    <row r="30" ht="13.5" customHeight="1">
      <c r="A30" s="77"/>
      <c r="B30" s="77"/>
      <c r="C30" s="41">
        <v>26.0</v>
      </c>
      <c r="D30" s="102"/>
      <c r="E30" s="68"/>
      <c r="F30" s="68"/>
      <c r="G30" s="68"/>
      <c r="H30" s="68"/>
      <c r="I30" s="68"/>
      <c r="J30" s="68"/>
      <c r="K30" s="68"/>
      <c r="L30" s="68"/>
      <c r="M30" s="68"/>
      <c r="N30" s="100"/>
      <c r="O30" s="101"/>
      <c r="P30" s="101"/>
      <c r="Q30" s="101"/>
      <c r="R30" s="77"/>
      <c r="S30" s="77"/>
      <c r="T30" s="77"/>
      <c r="U30" s="77"/>
      <c r="V30" s="77"/>
      <c r="W30" s="77"/>
      <c r="X30" s="77"/>
      <c r="Y30" s="77"/>
      <c r="Z30" s="77"/>
    </row>
    <row r="31" ht="13.5" customHeight="1">
      <c r="A31" s="77"/>
      <c r="B31" s="77"/>
      <c r="C31" s="41">
        <v>27.0</v>
      </c>
      <c r="D31" s="102"/>
      <c r="E31" s="68"/>
      <c r="F31" s="68"/>
      <c r="G31" s="68"/>
      <c r="H31" s="68"/>
      <c r="I31" s="68"/>
      <c r="J31" s="68"/>
      <c r="K31" s="68"/>
      <c r="L31" s="68"/>
      <c r="M31" s="68"/>
      <c r="N31" s="100"/>
      <c r="O31" s="101"/>
      <c r="P31" s="101"/>
      <c r="Q31" s="101"/>
      <c r="R31" s="77"/>
      <c r="S31" s="77"/>
      <c r="T31" s="77"/>
      <c r="U31" s="77"/>
      <c r="V31" s="77"/>
      <c r="W31" s="77"/>
      <c r="X31" s="77"/>
      <c r="Y31" s="77"/>
      <c r="Z31" s="77"/>
    </row>
    <row r="32" ht="13.5" customHeight="1">
      <c r="A32" s="77"/>
      <c r="B32" s="77"/>
      <c r="C32" s="41">
        <v>28.0</v>
      </c>
      <c r="D32" s="102"/>
      <c r="E32" s="68"/>
      <c r="F32" s="68"/>
      <c r="G32" s="68"/>
      <c r="H32" s="68"/>
      <c r="I32" s="68"/>
      <c r="J32" s="68"/>
      <c r="K32" s="68"/>
      <c r="L32" s="68"/>
      <c r="M32" s="68"/>
      <c r="N32" s="100"/>
      <c r="O32" s="101"/>
      <c r="P32" s="101"/>
      <c r="Q32" s="101"/>
      <c r="R32" s="77"/>
      <c r="S32" s="77"/>
      <c r="T32" s="77"/>
      <c r="U32" s="77"/>
      <c r="V32" s="77"/>
      <c r="W32" s="77"/>
      <c r="X32" s="77"/>
      <c r="Y32" s="77"/>
      <c r="Z32" s="77"/>
    </row>
    <row r="33" ht="13.5" customHeight="1">
      <c r="A33" s="77"/>
      <c r="B33" s="77"/>
      <c r="C33" s="41">
        <v>29.0</v>
      </c>
      <c r="D33" s="102"/>
      <c r="E33" s="68"/>
      <c r="F33" s="68"/>
      <c r="G33" s="68"/>
      <c r="H33" s="68"/>
      <c r="I33" s="68"/>
      <c r="J33" s="68"/>
      <c r="K33" s="68"/>
      <c r="L33" s="68"/>
      <c r="M33" s="68"/>
      <c r="N33" s="100"/>
      <c r="O33" s="101"/>
      <c r="P33" s="101"/>
      <c r="Q33" s="101"/>
      <c r="R33" s="77"/>
      <c r="S33" s="77"/>
      <c r="T33" s="77"/>
      <c r="U33" s="77"/>
      <c r="V33" s="77"/>
      <c r="W33" s="77"/>
      <c r="X33" s="77"/>
      <c r="Y33" s="77"/>
      <c r="Z33" s="77"/>
    </row>
    <row r="34" ht="13.5" customHeight="1">
      <c r="A34" s="77"/>
      <c r="B34" s="77"/>
      <c r="C34" s="41">
        <v>30.0</v>
      </c>
      <c r="D34" s="68"/>
      <c r="E34" s="68"/>
      <c r="F34" s="68"/>
      <c r="G34" s="68"/>
      <c r="H34" s="68"/>
      <c r="I34" s="68"/>
      <c r="J34" s="68"/>
      <c r="K34" s="68"/>
      <c r="L34" s="68"/>
      <c r="M34" s="68"/>
      <c r="N34" s="101"/>
      <c r="O34" s="101"/>
      <c r="P34" s="101"/>
      <c r="Q34" s="101"/>
      <c r="R34" s="111"/>
      <c r="S34" s="111"/>
      <c r="T34" s="77"/>
      <c r="U34" s="77"/>
      <c r="V34" s="77"/>
      <c r="W34" s="77"/>
      <c r="X34" s="77"/>
      <c r="Y34" s="77"/>
      <c r="Z34" s="77"/>
    </row>
    <row r="35" ht="13.5" customHeight="1">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row>
    <row r="36" ht="13.5" customHeight="1">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row>
    <row r="37" ht="13.5" customHeight="1">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row>
    <row r="38" ht="13.5" customHeight="1">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row>
    <row r="39" ht="13.5" customHeight="1">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row>
    <row r="40" ht="13.5" customHeight="1">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ht="13.5" customHeight="1">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ht="13.5" customHeight="1">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ht="13.5" customHeight="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ht="13.5"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ht="13.5" customHeight="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ht="13.5"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ht="13.5" customHeight="1">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ht="13.5" customHeight="1">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ht="13.5" customHeight="1">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ht="13.5" customHeight="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ht="13.5" customHeight="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ht="13.5"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ht="13.5"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ht="13.5"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13.5"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13.5"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13.5"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13.5"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13.5"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13.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13.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13.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13.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13.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13.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13.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13.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13.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13.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13.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13.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13.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13.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13.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13.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13.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13.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13.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13.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13.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13.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13.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13.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13.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13.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13.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13.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13.5"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13.5"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ht="13.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13.5"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13.5"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ht="13.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13.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13.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13.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13.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13.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13.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13.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13.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13.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13.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13.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13.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13.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13.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13.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13.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13.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13.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13.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13.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13.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13.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13.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13.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13.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13.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13.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13.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13.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13.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13.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13.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13.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13.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13.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13.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13.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13.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13.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13.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13.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13.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13.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13.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13.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13.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13.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13.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13.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13.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13.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13.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13.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13.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13.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13.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13.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13.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13.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13.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13.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13.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13.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13.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13.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13.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13.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13.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13.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13.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13.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13.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13.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13.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13.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13.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13.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13.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13.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13.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13.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13.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13.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13.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13.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13.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13.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13.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13.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13.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13.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13.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13.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13.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13.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13.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13.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13.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13.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13.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13.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13.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13.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13.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13.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13.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13.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13.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13.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13.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13.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13.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13.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13.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13.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13.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13.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13.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13.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13.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13.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13.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13.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13.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13.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13.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13.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13.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13.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13.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13.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13.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13.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13.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13.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13.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13.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13.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13.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13.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13.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13.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13.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13.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13.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13.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13.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13.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13.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13.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13.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13.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13.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13.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13.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13.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13.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13.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13.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13.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13.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13.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13.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13.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13.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13.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13.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13.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13.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13.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13.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13.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13.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13.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13.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13.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13.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13.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13.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13.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13.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13.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13.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13.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13.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13.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13.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13.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13.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13.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13.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13.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13.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13.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13.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13.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13.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13.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13.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13.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13.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13.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13.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13.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13.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13.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13.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13.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13.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13.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13.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13.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13.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13.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13.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13.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13.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13.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13.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13.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13.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13.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13.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13.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13.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13.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13.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13.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13.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13.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13.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13.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13.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13.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13.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13.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13.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13.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13.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13.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13.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13.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13.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13.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13.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13.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13.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13.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13.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13.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13.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13.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13.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13.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13.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13.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13.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13.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13.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13.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13.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13.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13.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13.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13.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13.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13.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13.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13.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13.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13.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13.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13.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13.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13.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13.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13.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13.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13.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13.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13.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13.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13.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13.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13.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13.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13.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13.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13.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13.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13.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13.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13.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13.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13.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13.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13.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13.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13.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13.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13.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13.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13.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13.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13.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13.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13.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13.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13.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13.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13.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13.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13.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13.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13.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13.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13.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13.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13.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13.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13.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13.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13.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13.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13.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13.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13.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13.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13.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13.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13.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13.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13.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13.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13.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13.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13.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13.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13.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13.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13.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13.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13.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13.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13.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13.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13.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13.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13.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13.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13.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13.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13.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13.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13.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13.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13.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13.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13.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13.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13.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13.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13.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13.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13.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13.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13.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13.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13.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13.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13.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13.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13.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13.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13.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13.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13.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13.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13.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13.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13.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13.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13.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13.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13.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13.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13.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13.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13.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13.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13.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13.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13.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13.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13.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13.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13.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13.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13.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13.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13.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13.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13.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13.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13.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13.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13.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13.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13.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13.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13.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13.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13.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13.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13.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13.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13.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13.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13.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13.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13.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13.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13.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13.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13.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13.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13.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13.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13.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13.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13.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13.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13.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13.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13.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13.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13.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13.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13.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13.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13.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13.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13.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13.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13.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13.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13.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13.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13.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13.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13.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13.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13.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13.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13.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13.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13.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13.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13.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13.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13.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13.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13.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13.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13.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13.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13.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13.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13.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13.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13.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13.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13.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13.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13.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13.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13.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13.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13.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13.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13.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13.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13.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13.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13.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13.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13.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13.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13.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13.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13.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13.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13.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13.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13.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13.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13.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13.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13.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13.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13.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13.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13.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13.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13.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13.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13.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13.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13.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13.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13.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13.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13.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13.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13.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13.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13.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13.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13.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13.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13.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13.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13.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13.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13.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13.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13.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13.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13.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13.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13.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13.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13.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13.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13.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13.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13.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13.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13.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13.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13.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13.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13.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13.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13.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13.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13.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13.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13.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13.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13.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13.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13.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13.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13.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13.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13.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13.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13.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13.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13.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13.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13.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13.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13.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13.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13.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13.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13.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13.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13.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13.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13.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13.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13.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13.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13.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13.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13.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13.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13.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13.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13.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13.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13.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13.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13.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13.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13.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13.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13.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13.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13.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13.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13.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13.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13.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13.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13.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13.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13.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13.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13.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13.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13.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13.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13.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13.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13.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13.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13.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13.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13.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13.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13.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13.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13.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13.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13.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13.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13.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13.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13.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13.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13.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13.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13.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13.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13.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13.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13.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13.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13.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13.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13.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13.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13.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13.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13.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13.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13.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13.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13.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13.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13.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13.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13.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13.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13.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13.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13.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13.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13.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13.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13.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13.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13.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13.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13.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13.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13.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13.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13.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13.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13.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13.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13.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13.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13.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13.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13.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13.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13.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13.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13.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13.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13.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13.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13.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13.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13.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13.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13.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13.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13.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13.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13.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13.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13.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13.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13.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13.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13.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13.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13.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13.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13.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13.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13.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13.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13.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13.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13.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13.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13.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13.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13.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13.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13.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13.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13.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13.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13.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13.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13.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13.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13.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13.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13.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13.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13.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13.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13.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13.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13.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13.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13.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13.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13.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13.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13.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13.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13.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13.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13.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13.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13.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13.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13.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13.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13.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13.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13.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13.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13.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13.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13.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13.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13.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13.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13.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13.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13.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13.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13.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13.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13.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13.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13.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13.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13.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13.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13.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13.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13.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13.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13.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13.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13.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13.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13.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13.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13.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13.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13.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13.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13.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13.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13.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13.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13.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13.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13.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13.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13.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13.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13.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13.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13.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13.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13.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13.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13.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13.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13.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13.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13.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13.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13.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13.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13.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13.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13.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13.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13.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13.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13.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13.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13.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13.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13.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13.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13.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13.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13.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13.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13.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13.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13.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13.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13.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13.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13.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13.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13.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13.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13.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13.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13.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13.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13.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13.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13.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13.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13.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13.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13.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13.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13.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13.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13.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13.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13.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13.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13.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13.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13.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13.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13.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13.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13.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13.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13.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13.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13.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13.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13.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13.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13.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13.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13.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13.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13.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13.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13.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13.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13.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13.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13.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13.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13.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13.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13.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13.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13.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13.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13.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13.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13.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13.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13.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13.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13.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13.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13.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13.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13.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13.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13.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13.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13.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13.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13.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13.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13.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13.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13.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13.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13.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13.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13.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13.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13.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13.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13.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13.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13.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3">
    <mergeCell ref="E2:I4"/>
    <mergeCell ref="T4:X5"/>
    <mergeCell ref="H23:J24"/>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13.86"/>
    <col customWidth="1" min="4" max="4" width="19.86"/>
    <col customWidth="1" min="5" max="5" width="7.57"/>
    <col customWidth="1" min="6" max="6" width="19.86"/>
    <col customWidth="1" min="7" max="7" width="19.14"/>
    <col customWidth="1" min="8" max="8" width="22.14"/>
    <col customWidth="1" min="9" max="9" width="14.57"/>
    <col customWidth="1" min="10" max="12" width="8.86"/>
    <col customWidth="1" min="13" max="13" width="22.86"/>
    <col customWidth="1" min="14" max="15" width="20.57"/>
    <col customWidth="1" min="16" max="16" width="15.86"/>
    <col customWidth="1" min="17" max="23" width="8.86"/>
    <col customWidth="1" min="24" max="24" width="16.14"/>
    <col customWidth="1" min="25" max="25" width="12.43"/>
    <col customWidth="1" min="26" max="26" width="9.86"/>
  </cols>
  <sheetData>
    <row r="1" ht="13.5" customHeight="1">
      <c r="A1" s="77"/>
      <c r="B1" s="77"/>
      <c r="C1" s="77"/>
      <c r="D1" s="77"/>
      <c r="E1" s="77"/>
      <c r="F1" s="77"/>
      <c r="G1" s="77"/>
      <c r="H1" s="77"/>
      <c r="I1" s="77"/>
      <c r="J1" s="77"/>
      <c r="K1" s="77"/>
      <c r="L1" s="77"/>
      <c r="M1" s="77"/>
      <c r="N1" s="77"/>
      <c r="O1" s="77"/>
      <c r="P1" s="77"/>
      <c r="Q1" s="77"/>
      <c r="R1" s="77"/>
      <c r="S1" s="77"/>
      <c r="T1" s="77"/>
      <c r="U1" s="77"/>
      <c r="V1" s="77"/>
      <c r="W1" s="77"/>
      <c r="X1" s="77"/>
      <c r="Y1" s="77"/>
      <c r="Z1" s="77"/>
    </row>
    <row r="2" ht="13.5" customHeight="1">
      <c r="A2" s="77"/>
      <c r="B2" s="77"/>
      <c r="C2" s="77"/>
      <c r="D2" s="77"/>
      <c r="E2" s="78" t="s">
        <v>680</v>
      </c>
      <c r="F2" s="79"/>
      <c r="G2" s="79"/>
      <c r="H2" s="79"/>
      <c r="I2" s="80"/>
      <c r="J2" s="77"/>
      <c r="K2" s="77"/>
      <c r="L2" s="77"/>
      <c r="M2" s="77"/>
      <c r="N2" s="77"/>
      <c r="O2" s="77"/>
      <c r="P2" s="77"/>
      <c r="Q2" s="77"/>
      <c r="R2" s="77"/>
      <c r="S2" s="77"/>
      <c r="T2" s="77"/>
      <c r="U2" s="77"/>
      <c r="V2" s="77"/>
      <c r="W2" s="77"/>
      <c r="X2" s="77"/>
      <c r="Y2" s="77"/>
      <c r="Z2" s="77"/>
    </row>
    <row r="3" ht="13.5" customHeight="1">
      <c r="A3" s="77"/>
      <c r="B3" s="77"/>
      <c r="C3" s="77"/>
      <c r="D3" s="77"/>
      <c r="E3" s="81"/>
      <c r="I3" s="82"/>
      <c r="J3" s="77"/>
      <c r="K3" s="77"/>
      <c r="L3" s="77"/>
      <c r="M3" s="77"/>
      <c r="N3" s="77"/>
      <c r="O3" s="77"/>
      <c r="P3" s="77"/>
      <c r="Q3" s="77"/>
      <c r="R3" s="77"/>
      <c r="S3" s="77"/>
      <c r="T3" s="77"/>
      <c r="U3" s="77"/>
      <c r="V3" s="77"/>
      <c r="W3" s="77"/>
      <c r="X3" s="77"/>
      <c r="Y3" s="77"/>
      <c r="Z3" s="77"/>
    </row>
    <row r="4" ht="13.5" customHeight="1">
      <c r="A4" s="77"/>
      <c r="B4" s="77"/>
      <c r="C4" s="77"/>
      <c r="D4" s="77"/>
      <c r="E4" s="83"/>
      <c r="F4" s="84"/>
      <c r="G4" s="84"/>
      <c r="H4" s="84"/>
      <c r="I4" s="85"/>
      <c r="J4" s="77"/>
      <c r="K4" s="77"/>
      <c r="L4" s="77"/>
      <c r="M4" s="77"/>
      <c r="N4" s="77"/>
      <c r="O4" s="77"/>
      <c r="P4" s="77"/>
      <c r="Q4" s="77"/>
      <c r="R4" s="77"/>
      <c r="S4" s="77"/>
      <c r="T4" s="77"/>
      <c r="U4" s="77"/>
      <c r="V4" s="86" t="s">
        <v>615</v>
      </c>
      <c r="W4" s="79"/>
      <c r="X4" s="79"/>
      <c r="Y4" s="79"/>
      <c r="Z4" s="80"/>
    </row>
    <row r="5" ht="13.5" customHeight="1">
      <c r="A5" s="77"/>
      <c r="B5" s="77"/>
      <c r="C5" s="77"/>
      <c r="D5" s="77"/>
      <c r="E5" s="77"/>
      <c r="F5" s="77"/>
      <c r="G5" s="77"/>
      <c r="H5" s="77"/>
      <c r="I5" s="77"/>
      <c r="J5" s="77"/>
      <c r="K5" s="77"/>
      <c r="L5" s="77"/>
      <c r="M5" s="77"/>
      <c r="N5" s="77"/>
      <c r="O5" s="77"/>
      <c r="P5" s="77"/>
      <c r="Q5" s="77"/>
      <c r="R5" s="77"/>
      <c r="S5" s="77"/>
      <c r="T5" s="77"/>
      <c r="U5" s="77"/>
      <c r="V5" s="83"/>
      <c r="W5" s="84"/>
      <c r="X5" s="84"/>
      <c r="Y5" s="84"/>
      <c r="Z5" s="85"/>
    </row>
    <row r="6" ht="13.5" customHeight="1">
      <c r="A6" s="77"/>
      <c r="B6" s="77"/>
      <c r="C6" s="56" t="s">
        <v>293</v>
      </c>
      <c r="D6" s="48" t="s">
        <v>295</v>
      </c>
      <c r="E6" s="48" t="s">
        <v>296</v>
      </c>
      <c r="F6" s="48" t="s">
        <v>297</v>
      </c>
      <c r="G6" s="48" t="s">
        <v>298</v>
      </c>
      <c r="H6" s="48" t="s">
        <v>299</v>
      </c>
      <c r="I6" s="48" t="s">
        <v>619</v>
      </c>
      <c r="J6" s="57" t="s">
        <v>301</v>
      </c>
      <c r="K6" s="57" t="s">
        <v>681</v>
      </c>
      <c r="L6" s="57" t="s">
        <v>682</v>
      </c>
      <c r="M6" s="57" t="s">
        <v>621</v>
      </c>
      <c r="N6" s="57" t="s">
        <v>405</v>
      </c>
      <c r="O6" s="87" t="s">
        <v>622</v>
      </c>
      <c r="P6" s="88" t="s">
        <v>624</v>
      </c>
      <c r="Q6" s="89"/>
      <c r="R6" s="89"/>
      <c r="S6" s="89"/>
      <c r="T6" s="77"/>
      <c r="U6" s="77"/>
      <c r="V6" s="77"/>
      <c r="W6" s="77"/>
      <c r="X6" s="77"/>
      <c r="Y6" s="77"/>
      <c r="Z6" s="77"/>
    </row>
    <row r="7" ht="13.5" customHeight="1">
      <c r="A7" s="77"/>
      <c r="B7" s="77"/>
      <c r="C7" s="41">
        <v>1.0</v>
      </c>
      <c r="D7" s="51" t="s">
        <v>683</v>
      </c>
      <c r="E7" s="62" t="s">
        <v>355</v>
      </c>
      <c r="F7" s="62" t="s">
        <v>684</v>
      </c>
      <c r="G7" s="62" t="s">
        <v>502</v>
      </c>
      <c r="H7" s="62" t="s">
        <v>685</v>
      </c>
      <c r="I7" s="62">
        <v>39500.0</v>
      </c>
      <c r="J7" s="62">
        <v>36472.0</v>
      </c>
      <c r="K7" s="90">
        <v>34972.0</v>
      </c>
      <c r="L7" s="90">
        <v>1500.0</v>
      </c>
      <c r="M7" s="90" t="s">
        <v>686</v>
      </c>
      <c r="N7" s="90">
        <f>I7-J7</f>
        <v>3028</v>
      </c>
      <c r="O7" s="90"/>
      <c r="P7" s="91"/>
      <c r="Q7" s="92"/>
      <c r="R7" s="92"/>
      <c r="S7" s="92"/>
      <c r="T7" s="77"/>
      <c r="U7" s="77"/>
      <c r="V7" s="77"/>
      <c r="W7" s="77" t="s">
        <v>636</v>
      </c>
      <c r="X7" s="77" t="s">
        <v>637</v>
      </c>
      <c r="Y7" s="77" t="s">
        <v>638</v>
      </c>
      <c r="Z7" s="77" t="s">
        <v>639</v>
      </c>
    </row>
    <row r="8" ht="13.5" customHeight="1">
      <c r="A8" s="77"/>
      <c r="B8" s="77"/>
      <c r="C8" s="41">
        <v>2.0</v>
      </c>
      <c r="D8" s="51" t="s">
        <v>345</v>
      </c>
      <c r="E8" s="49" t="s">
        <v>355</v>
      </c>
      <c r="F8" s="49" t="s">
        <v>684</v>
      </c>
      <c r="G8" s="49" t="s">
        <v>502</v>
      </c>
      <c r="H8" s="49" t="s">
        <v>685</v>
      </c>
      <c r="I8" s="49">
        <v>39500.0</v>
      </c>
      <c r="J8" s="49">
        <v>36472.0</v>
      </c>
      <c r="K8" s="67">
        <v>34972.0</v>
      </c>
      <c r="L8" s="67">
        <v>1500.0</v>
      </c>
      <c r="M8" s="67" t="s">
        <v>686</v>
      </c>
      <c r="N8" s="67">
        <v>3028.0</v>
      </c>
      <c r="O8" s="67"/>
      <c r="P8" s="91"/>
      <c r="Q8" s="89"/>
      <c r="R8" s="89"/>
      <c r="S8" s="89"/>
      <c r="T8" s="77"/>
      <c r="U8" s="77"/>
      <c r="V8" s="77"/>
      <c r="W8" s="77">
        <v>1250.0</v>
      </c>
      <c r="X8" s="77" t="s">
        <v>687</v>
      </c>
      <c r="Y8" s="77" t="s">
        <v>304</v>
      </c>
      <c r="Z8" s="77"/>
    </row>
    <row r="9" ht="13.5" customHeight="1">
      <c r="A9" s="77"/>
      <c r="B9" s="77"/>
      <c r="C9" s="41">
        <v>4.0</v>
      </c>
      <c r="D9" s="51" t="s">
        <v>688</v>
      </c>
      <c r="E9" s="49" t="s">
        <v>304</v>
      </c>
      <c r="F9" s="49" t="s">
        <v>689</v>
      </c>
      <c r="G9" s="49" t="s">
        <v>690</v>
      </c>
      <c r="H9" s="49" t="s">
        <v>441</v>
      </c>
      <c r="I9" s="49">
        <v>37500.0</v>
      </c>
      <c r="J9" s="49"/>
      <c r="K9" s="67"/>
      <c r="L9" s="67"/>
      <c r="M9" s="67" t="s">
        <v>691</v>
      </c>
      <c r="N9" s="67"/>
      <c r="O9" s="67"/>
      <c r="P9" s="91"/>
      <c r="Q9" s="92"/>
      <c r="R9" s="92"/>
      <c r="S9" s="92"/>
      <c r="T9" s="77"/>
      <c r="U9" s="77"/>
      <c r="V9" s="77"/>
      <c r="W9" s="77">
        <v>3130.0</v>
      </c>
      <c r="X9" s="77" t="s">
        <v>692</v>
      </c>
      <c r="Y9" s="77" t="s">
        <v>355</v>
      </c>
      <c r="Z9" s="77"/>
    </row>
    <row r="10" ht="13.5" customHeight="1">
      <c r="A10" s="77"/>
      <c r="B10" s="77"/>
      <c r="C10" s="41">
        <v>5.0</v>
      </c>
      <c r="D10" s="51" t="s">
        <v>657</v>
      </c>
      <c r="E10" s="49" t="s">
        <v>304</v>
      </c>
      <c r="F10" s="49" t="s">
        <v>689</v>
      </c>
      <c r="G10" s="49" t="s">
        <v>690</v>
      </c>
      <c r="H10" s="49" t="s">
        <v>441</v>
      </c>
      <c r="I10" s="49">
        <v>37500.0</v>
      </c>
      <c r="J10" s="49"/>
      <c r="K10" s="67"/>
      <c r="L10" s="67"/>
      <c r="M10" s="67" t="s">
        <v>691</v>
      </c>
      <c r="N10" s="67"/>
      <c r="O10" s="67"/>
      <c r="P10" s="91"/>
      <c r="Q10" s="89"/>
      <c r="R10" s="89"/>
      <c r="S10" s="89"/>
      <c r="T10" s="77"/>
      <c r="U10" s="77"/>
      <c r="V10" s="77"/>
      <c r="W10" s="77"/>
      <c r="X10" s="77"/>
      <c r="Y10" s="77"/>
      <c r="Z10" s="77"/>
    </row>
    <row r="11" ht="13.5" customHeight="1">
      <c r="A11" s="77"/>
      <c r="B11" s="77"/>
      <c r="C11" s="41">
        <v>7.0</v>
      </c>
      <c r="D11" s="93" t="s">
        <v>693</v>
      </c>
      <c r="E11" s="49" t="s">
        <v>355</v>
      </c>
      <c r="F11" s="49" t="s">
        <v>694</v>
      </c>
      <c r="G11" s="49" t="s">
        <v>690</v>
      </c>
      <c r="H11" s="49" t="s">
        <v>441</v>
      </c>
      <c r="I11" s="62">
        <v>75000.0</v>
      </c>
      <c r="J11" s="49"/>
      <c r="K11" s="67"/>
      <c r="L11" s="67"/>
      <c r="M11" s="113" t="s">
        <v>695</v>
      </c>
      <c r="N11" s="95"/>
      <c r="O11" s="95"/>
      <c r="P11" s="91"/>
      <c r="Q11" s="97"/>
      <c r="R11" s="97"/>
      <c r="S11" s="97"/>
      <c r="T11" s="77"/>
      <c r="U11" s="77"/>
      <c r="V11" s="77"/>
      <c r="W11" s="77"/>
      <c r="X11" s="77"/>
      <c r="Y11" s="77"/>
      <c r="Z11" s="77"/>
    </row>
    <row r="12" ht="13.5" customHeight="1">
      <c r="A12" s="77"/>
      <c r="B12" s="77"/>
      <c r="C12" s="41">
        <v>8.0</v>
      </c>
      <c r="D12" s="51" t="s">
        <v>277</v>
      </c>
      <c r="E12" s="49" t="s">
        <v>304</v>
      </c>
      <c r="F12" s="49"/>
      <c r="G12" s="49" t="s">
        <v>696</v>
      </c>
      <c r="H12" s="49" t="s">
        <v>697</v>
      </c>
      <c r="I12" s="62">
        <v>992000.0</v>
      </c>
      <c r="J12" s="49">
        <v>930000.0</v>
      </c>
      <c r="K12" s="67">
        <v>870000.0</v>
      </c>
      <c r="L12" s="67">
        <v>15000.0</v>
      </c>
      <c r="M12" s="94" t="s">
        <v>698</v>
      </c>
      <c r="N12" s="95">
        <f>I12-J12</f>
        <v>62000</v>
      </c>
      <c r="O12" s="67"/>
      <c r="P12" s="91"/>
      <c r="Q12" s="97"/>
      <c r="R12" s="97"/>
      <c r="S12" s="97"/>
      <c r="T12" s="77"/>
      <c r="U12" s="77"/>
      <c r="V12" s="77"/>
      <c r="W12" s="77"/>
      <c r="X12" s="77"/>
      <c r="Y12" s="77"/>
      <c r="Z12" s="77"/>
    </row>
    <row r="13" ht="13.5" customHeight="1">
      <c r="A13" s="77"/>
      <c r="B13" s="77"/>
      <c r="C13" s="41">
        <v>9.0</v>
      </c>
      <c r="D13" s="51" t="s">
        <v>699</v>
      </c>
      <c r="E13" s="62" t="s">
        <v>355</v>
      </c>
      <c r="F13" s="62" t="s">
        <v>700</v>
      </c>
      <c r="G13" s="62" t="s">
        <v>690</v>
      </c>
      <c r="H13" s="62" t="s">
        <v>701</v>
      </c>
      <c r="I13" s="62">
        <v>10000.0</v>
      </c>
      <c r="J13" s="62"/>
      <c r="K13" s="62"/>
      <c r="L13" s="62"/>
      <c r="M13" s="49" t="s">
        <v>691</v>
      </c>
      <c r="N13" s="49">
        <v>10000.0</v>
      </c>
      <c r="O13" s="49"/>
      <c r="P13" s="91"/>
      <c r="Q13" s="89"/>
      <c r="R13" s="89"/>
      <c r="S13" s="89"/>
      <c r="T13" s="77"/>
      <c r="U13" s="77"/>
      <c r="V13" s="77"/>
      <c r="W13" s="77"/>
      <c r="X13" s="77"/>
      <c r="Y13" s="77"/>
      <c r="Z13" s="77"/>
    </row>
    <row r="14" ht="13.5" customHeight="1">
      <c r="A14" s="77"/>
      <c r="B14" s="77"/>
      <c r="C14" s="41">
        <v>10.0</v>
      </c>
      <c r="D14" s="51" t="s">
        <v>702</v>
      </c>
      <c r="E14" s="49" t="s">
        <v>355</v>
      </c>
      <c r="F14" s="49"/>
      <c r="G14" s="49" t="s">
        <v>703</v>
      </c>
      <c r="H14" s="49" t="s">
        <v>704</v>
      </c>
      <c r="I14" s="49">
        <v>8000.0</v>
      </c>
      <c r="J14" s="49">
        <v>6000.0</v>
      </c>
      <c r="K14" s="49"/>
      <c r="L14" s="49"/>
      <c r="M14" s="49"/>
      <c r="N14" s="49">
        <v>2000.0</v>
      </c>
      <c r="O14" s="49"/>
      <c r="P14" s="91"/>
      <c r="Q14" s="89"/>
      <c r="R14" s="89"/>
      <c r="S14" s="89"/>
      <c r="T14" s="77"/>
      <c r="U14" s="77"/>
      <c r="V14" s="77"/>
      <c r="W14" s="77"/>
      <c r="X14" s="77"/>
      <c r="Y14" s="77"/>
      <c r="Z14" s="77"/>
    </row>
    <row r="15" ht="13.5" customHeight="1">
      <c r="A15" s="77"/>
      <c r="B15" s="77"/>
      <c r="C15" s="41">
        <v>11.0</v>
      </c>
      <c r="D15" s="51" t="s">
        <v>705</v>
      </c>
      <c r="E15" s="49" t="s">
        <v>355</v>
      </c>
      <c r="F15" s="49" t="s">
        <v>374</v>
      </c>
      <c r="G15" s="49"/>
      <c r="H15" s="49" t="s">
        <v>706</v>
      </c>
      <c r="I15" s="49">
        <v>15000.0</v>
      </c>
      <c r="J15" s="49">
        <v>0.0</v>
      </c>
      <c r="K15" s="49">
        <v>0.0</v>
      </c>
      <c r="L15" s="49">
        <v>0.0</v>
      </c>
      <c r="M15" s="49" t="s">
        <v>707</v>
      </c>
      <c r="N15" s="49">
        <v>15000.0</v>
      </c>
      <c r="O15" s="49"/>
      <c r="P15" s="91"/>
      <c r="Q15" s="89"/>
      <c r="R15" s="89"/>
      <c r="S15" s="89"/>
      <c r="T15" s="77"/>
      <c r="U15" s="77"/>
      <c r="V15" s="77"/>
      <c r="W15" s="77"/>
      <c r="X15" s="77"/>
      <c r="Y15" s="77"/>
      <c r="Z15" s="77"/>
    </row>
    <row r="16" ht="13.5" customHeight="1">
      <c r="A16" s="77"/>
      <c r="B16" s="77"/>
      <c r="C16" s="41">
        <v>12.0</v>
      </c>
      <c r="D16" s="51"/>
      <c r="E16" s="49"/>
      <c r="F16" s="49"/>
      <c r="G16" s="49"/>
      <c r="H16" s="49"/>
      <c r="I16" s="49"/>
      <c r="J16" s="49"/>
      <c r="K16" s="49"/>
      <c r="L16" s="49"/>
      <c r="M16" s="49"/>
      <c r="N16" s="49"/>
      <c r="O16" s="49"/>
      <c r="P16" s="91"/>
      <c r="Q16" s="89"/>
      <c r="R16" s="89"/>
      <c r="S16" s="89"/>
      <c r="T16" s="77"/>
      <c r="U16" s="77"/>
      <c r="V16" s="77"/>
      <c r="W16" s="77"/>
      <c r="X16" s="77"/>
      <c r="Y16" s="77"/>
      <c r="Z16" s="77"/>
    </row>
    <row r="17" ht="13.5" customHeight="1">
      <c r="A17" s="77"/>
      <c r="B17" s="77"/>
      <c r="C17" s="41">
        <v>13.0</v>
      </c>
      <c r="D17" s="51"/>
      <c r="E17" s="49"/>
      <c r="F17" s="49"/>
      <c r="G17" s="49"/>
      <c r="H17" s="49"/>
      <c r="I17" s="98"/>
      <c r="J17" s="99"/>
      <c r="K17" s="99"/>
      <c r="L17" s="99"/>
      <c r="M17" s="49"/>
      <c r="N17" s="49"/>
      <c r="O17" s="49"/>
      <c r="P17" s="91"/>
      <c r="Q17" s="89"/>
      <c r="R17" s="89"/>
      <c r="S17" s="89"/>
      <c r="T17" s="77"/>
      <c r="U17" s="77"/>
      <c r="V17" s="77"/>
      <c r="W17" s="77"/>
      <c r="X17" s="77"/>
      <c r="Y17" s="77"/>
      <c r="Z17" s="77"/>
    </row>
    <row r="18" ht="13.5" customHeight="1">
      <c r="A18" s="77"/>
      <c r="B18" s="77"/>
      <c r="C18" s="41">
        <v>14.0</v>
      </c>
      <c r="D18" s="51"/>
      <c r="E18" s="49"/>
      <c r="F18" s="49"/>
      <c r="G18" s="68"/>
      <c r="H18" s="49"/>
      <c r="I18" s="62"/>
      <c r="J18" s="99"/>
      <c r="K18" s="99"/>
      <c r="L18" s="99"/>
      <c r="M18" s="49"/>
      <c r="N18" s="49"/>
      <c r="O18" s="49"/>
      <c r="P18" s="91"/>
      <c r="Q18" s="89"/>
      <c r="R18" s="89"/>
      <c r="S18" s="89"/>
      <c r="T18" s="77"/>
      <c r="U18" s="77"/>
      <c r="V18" s="77"/>
      <c r="W18" s="77"/>
      <c r="X18" s="77"/>
      <c r="Y18" s="77"/>
      <c r="Z18" s="77"/>
    </row>
    <row r="19" ht="13.5" customHeight="1">
      <c r="A19" s="77"/>
      <c r="B19" s="77"/>
      <c r="C19" s="41">
        <v>15.0</v>
      </c>
      <c r="D19" s="51"/>
      <c r="E19" s="49"/>
      <c r="F19" s="49"/>
      <c r="G19" s="49"/>
      <c r="H19" s="49"/>
      <c r="I19" s="49"/>
      <c r="J19" s="49"/>
      <c r="K19" s="49"/>
      <c r="L19" s="49"/>
      <c r="M19" s="49"/>
      <c r="N19" s="49"/>
      <c r="O19" s="49"/>
      <c r="P19" s="91"/>
      <c r="Q19" s="89"/>
      <c r="R19" s="89"/>
      <c r="S19" s="89"/>
      <c r="T19" s="77"/>
      <c r="U19" s="77"/>
      <c r="V19" s="77"/>
      <c r="W19" s="77"/>
      <c r="X19" s="77"/>
      <c r="Y19" s="77"/>
      <c r="Z19" s="77"/>
    </row>
    <row r="20" ht="13.5" customHeight="1">
      <c r="A20" s="77"/>
      <c r="B20" s="77"/>
      <c r="C20" s="41">
        <v>16.0</v>
      </c>
      <c r="D20" s="51"/>
      <c r="E20" s="49"/>
      <c r="F20" s="49"/>
      <c r="G20" s="49"/>
      <c r="H20" s="49"/>
      <c r="I20" s="49"/>
      <c r="J20" s="49"/>
      <c r="K20" s="49"/>
      <c r="L20" s="49"/>
      <c r="M20" s="68"/>
      <c r="N20" s="68"/>
      <c r="O20" s="68"/>
      <c r="P20" s="100"/>
      <c r="Q20" s="101"/>
      <c r="R20" s="101"/>
      <c r="S20" s="101"/>
      <c r="T20" s="77"/>
      <c r="U20" s="77"/>
      <c r="V20" s="77"/>
      <c r="W20" s="77"/>
      <c r="X20" s="77"/>
      <c r="Y20" s="77"/>
      <c r="Z20" s="77"/>
    </row>
    <row r="21" ht="13.5" customHeight="1">
      <c r="A21" s="77"/>
      <c r="B21" s="77"/>
      <c r="C21" s="41">
        <v>17.0</v>
      </c>
      <c r="D21" s="51"/>
      <c r="E21" s="49"/>
      <c r="F21" s="49"/>
      <c r="G21" s="49"/>
      <c r="H21" s="49"/>
      <c r="I21" s="49"/>
      <c r="J21" s="68"/>
      <c r="K21" s="68"/>
      <c r="L21" s="68"/>
      <c r="M21" s="68"/>
      <c r="N21" s="68"/>
      <c r="O21" s="68"/>
      <c r="P21" s="100"/>
      <c r="Q21" s="101"/>
      <c r="R21" s="101"/>
      <c r="S21" s="101"/>
      <c r="T21" s="77"/>
      <c r="U21" s="77"/>
      <c r="V21" s="77"/>
      <c r="W21" s="77"/>
      <c r="X21" s="77"/>
      <c r="Y21" s="77"/>
      <c r="Z21" s="77"/>
    </row>
    <row r="22" ht="13.5" customHeight="1">
      <c r="A22" s="77"/>
      <c r="B22" s="77"/>
      <c r="C22" s="41">
        <v>18.0</v>
      </c>
      <c r="D22" s="51"/>
      <c r="E22" s="49"/>
      <c r="F22" s="49"/>
      <c r="G22" s="49"/>
      <c r="H22" s="49"/>
      <c r="I22" s="49"/>
      <c r="J22" s="68"/>
      <c r="K22" s="68"/>
      <c r="L22" s="68"/>
      <c r="M22" s="68"/>
      <c r="N22" s="68"/>
      <c r="O22" s="68"/>
      <c r="P22" s="100"/>
      <c r="Q22" s="101"/>
      <c r="R22" s="101"/>
      <c r="S22" s="101"/>
      <c r="T22" s="77"/>
      <c r="U22" s="77"/>
      <c r="V22" s="77"/>
      <c r="W22" s="77"/>
      <c r="X22" s="77"/>
      <c r="Y22" s="77"/>
      <c r="Z22" s="77"/>
    </row>
    <row r="23" ht="14.25" customHeight="1">
      <c r="A23" s="77"/>
      <c r="B23" s="77"/>
      <c r="C23" s="41">
        <v>19.0</v>
      </c>
      <c r="D23" s="102"/>
      <c r="E23" s="68"/>
      <c r="F23" s="68"/>
      <c r="G23" s="76"/>
      <c r="H23" s="114"/>
      <c r="I23" s="115"/>
      <c r="J23" s="116"/>
      <c r="K23" s="116"/>
      <c r="L23" s="116"/>
      <c r="M23" s="68"/>
      <c r="N23" s="68"/>
      <c r="O23" s="68"/>
      <c r="P23" s="100"/>
      <c r="Q23" s="101"/>
      <c r="R23" s="101"/>
      <c r="S23" s="101"/>
      <c r="T23" s="77"/>
      <c r="U23" s="77"/>
      <c r="V23" s="77"/>
      <c r="W23" s="77"/>
      <c r="X23" s="77"/>
      <c r="Y23" s="77"/>
      <c r="Z23" s="77"/>
    </row>
    <row r="24" ht="13.5" customHeight="1">
      <c r="A24" s="77"/>
      <c r="B24" s="77"/>
      <c r="C24" s="41">
        <v>20.0</v>
      </c>
      <c r="D24" s="102"/>
      <c r="E24" s="68"/>
      <c r="F24" s="68"/>
      <c r="G24" s="68"/>
      <c r="H24" s="117"/>
      <c r="I24" s="118"/>
      <c r="J24" s="119"/>
      <c r="K24" s="119"/>
      <c r="L24" s="119"/>
      <c r="M24" s="68"/>
      <c r="N24" s="68"/>
      <c r="O24" s="68"/>
      <c r="P24" s="100"/>
      <c r="Q24" s="101"/>
      <c r="R24" s="101"/>
      <c r="S24" s="101"/>
      <c r="T24" s="77"/>
      <c r="U24" s="77"/>
      <c r="V24" s="77"/>
      <c r="W24" s="77"/>
      <c r="X24" s="77"/>
      <c r="Y24" s="77"/>
      <c r="Z24" s="77"/>
    </row>
    <row r="25" ht="13.5" customHeight="1">
      <c r="A25" s="77"/>
      <c r="B25" s="77"/>
      <c r="C25" s="41">
        <v>21.0</v>
      </c>
      <c r="D25" s="102"/>
      <c r="E25" s="68"/>
      <c r="F25" s="68"/>
      <c r="G25" s="68"/>
      <c r="H25" s="68"/>
      <c r="I25" s="68"/>
      <c r="J25" s="68"/>
      <c r="K25" s="68"/>
      <c r="L25" s="68"/>
      <c r="M25" s="68"/>
      <c r="N25" s="68"/>
      <c r="O25" s="68"/>
      <c r="P25" s="100"/>
      <c r="Q25" s="101"/>
      <c r="R25" s="101"/>
      <c r="S25" s="101"/>
      <c r="T25" s="77"/>
      <c r="U25" s="77"/>
      <c r="V25" s="77"/>
      <c r="W25" s="77"/>
      <c r="X25" s="77"/>
      <c r="Y25" s="77"/>
      <c r="Z25" s="77"/>
    </row>
    <row r="26" ht="13.5" customHeight="1">
      <c r="A26" s="77"/>
      <c r="B26" s="77"/>
      <c r="C26" s="41">
        <v>22.0</v>
      </c>
      <c r="D26" s="102"/>
      <c r="E26" s="68"/>
      <c r="F26" s="68"/>
      <c r="G26" s="68"/>
      <c r="H26" s="110"/>
      <c r="I26" s="91"/>
      <c r="J26" s="68"/>
      <c r="K26" s="68"/>
      <c r="L26" s="68"/>
      <c r="M26" s="68"/>
      <c r="N26" s="68"/>
      <c r="O26" s="68"/>
      <c r="P26" s="100"/>
      <c r="Q26" s="101"/>
      <c r="R26" s="101"/>
      <c r="S26" s="101"/>
      <c r="T26" s="77"/>
      <c r="U26" s="77"/>
      <c r="V26" s="77"/>
      <c r="W26" s="77"/>
      <c r="X26" s="77"/>
      <c r="Y26" s="77"/>
      <c r="Z26" s="77"/>
    </row>
    <row r="27" ht="13.5" customHeight="1">
      <c r="A27" s="77"/>
      <c r="B27" s="77"/>
      <c r="C27" s="41">
        <v>23.0</v>
      </c>
      <c r="D27" s="102"/>
      <c r="E27" s="68"/>
      <c r="F27" s="68"/>
      <c r="G27" s="68"/>
      <c r="H27" s="110"/>
      <c r="I27" s="91"/>
      <c r="J27" s="68"/>
      <c r="K27" s="68"/>
      <c r="L27" s="68"/>
      <c r="M27" s="68"/>
      <c r="N27" s="68"/>
      <c r="O27" s="68"/>
      <c r="P27" s="100"/>
      <c r="Q27" s="101"/>
      <c r="R27" s="101"/>
      <c r="S27" s="101"/>
      <c r="T27" s="77"/>
      <c r="U27" s="77"/>
      <c r="V27" s="77"/>
      <c r="W27" s="77"/>
      <c r="X27" s="77"/>
      <c r="Y27" s="77"/>
      <c r="Z27" s="77"/>
    </row>
    <row r="28" ht="13.5" customHeight="1">
      <c r="A28" s="77"/>
      <c r="B28" s="77"/>
      <c r="C28" s="41">
        <v>24.0</v>
      </c>
      <c r="D28" s="102"/>
      <c r="E28" s="68"/>
      <c r="F28" s="68"/>
      <c r="G28" s="68"/>
      <c r="H28" s="110"/>
      <c r="I28" s="91"/>
      <c r="J28" s="68"/>
      <c r="K28" s="68"/>
      <c r="L28" s="68"/>
      <c r="M28" s="68"/>
      <c r="N28" s="68"/>
      <c r="O28" s="68"/>
      <c r="P28" s="100"/>
      <c r="Q28" s="101"/>
      <c r="R28" s="101"/>
      <c r="S28" s="101"/>
      <c r="T28" s="77"/>
      <c r="U28" s="77"/>
      <c r="V28" s="77"/>
      <c r="W28" s="77"/>
      <c r="X28" s="77"/>
      <c r="Y28" s="77"/>
      <c r="Z28" s="77"/>
    </row>
    <row r="29" ht="13.5" customHeight="1">
      <c r="A29" s="77"/>
      <c r="B29" s="77"/>
      <c r="C29" s="41">
        <v>25.0</v>
      </c>
      <c r="D29" s="102"/>
      <c r="E29" s="68"/>
      <c r="F29" s="68"/>
      <c r="G29" s="68"/>
      <c r="H29" s="110"/>
      <c r="I29" s="68"/>
      <c r="J29" s="68"/>
      <c r="K29" s="68"/>
      <c r="L29" s="68"/>
      <c r="M29" s="68"/>
      <c r="N29" s="68"/>
      <c r="O29" s="68"/>
      <c r="P29" s="100"/>
      <c r="Q29" s="101"/>
      <c r="R29" s="101"/>
      <c r="S29" s="101"/>
      <c r="T29" s="77"/>
      <c r="U29" s="77"/>
      <c r="V29" s="77"/>
      <c r="W29" s="77"/>
      <c r="X29" s="77"/>
      <c r="Y29" s="77"/>
      <c r="Z29" s="77"/>
    </row>
    <row r="30" ht="13.5" customHeight="1">
      <c r="A30" s="77"/>
      <c r="B30" s="77"/>
      <c r="C30" s="41">
        <v>26.0</v>
      </c>
      <c r="D30" s="102"/>
      <c r="E30" s="68"/>
      <c r="F30" s="68"/>
      <c r="G30" s="68"/>
      <c r="H30" s="68"/>
      <c r="I30" s="68"/>
      <c r="J30" s="68"/>
      <c r="K30" s="68"/>
      <c r="L30" s="68"/>
      <c r="M30" s="68"/>
      <c r="N30" s="68"/>
      <c r="O30" s="68"/>
      <c r="P30" s="100"/>
      <c r="Q30" s="101"/>
      <c r="R30" s="101"/>
      <c r="S30" s="101"/>
      <c r="T30" s="77"/>
      <c r="U30" s="77"/>
      <c r="V30" s="77"/>
      <c r="W30" s="77"/>
      <c r="X30" s="77"/>
      <c r="Y30" s="77"/>
      <c r="Z30" s="77"/>
    </row>
    <row r="31" ht="13.5" customHeight="1">
      <c r="A31" s="77"/>
      <c r="B31" s="77"/>
      <c r="C31" s="41">
        <v>27.0</v>
      </c>
      <c r="D31" s="102"/>
      <c r="E31" s="68"/>
      <c r="F31" s="68"/>
      <c r="G31" s="68"/>
      <c r="H31" s="68"/>
      <c r="I31" s="68"/>
      <c r="J31" s="68"/>
      <c r="K31" s="68"/>
      <c r="L31" s="68"/>
      <c r="M31" s="68"/>
      <c r="N31" s="68"/>
      <c r="O31" s="68"/>
      <c r="P31" s="100"/>
      <c r="Q31" s="101"/>
      <c r="R31" s="101"/>
      <c r="S31" s="101"/>
      <c r="T31" s="77"/>
      <c r="U31" s="77"/>
      <c r="V31" s="77"/>
      <c r="W31" s="77"/>
      <c r="X31" s="77"/>
      <c r="Y31" s="77"/>
      <c r="Z31" s="77"/>
    </row>
    <row r="32" ht="13.5" customHeight="1">
      <c r="A32" s="77"/>
      <c r="B32" s="77"/>
      <c r="C32" s="41">
        <v>28.0</v>
      </c>
      <c r="D32" s="102"/>
      <c r="E32" s="68"/>
      <c r="F32" s="68"/>
      <c r="G32" s="68"/>
      <c r="H32" s="68"/>
      <c r="I32" s="68"/>
      <c r="J32" s="68"/>
      <c r="K32" s="68"/>
      <c r="L32" s="68"/>
      <c r="M32" s="68"/>
      <c r="N32" s="68"/>
      <c r="O32" s="68"/>
      <c r="P32" s="100"/>
      <c r="Q32" s="101"/>
      <c r="R32" s="101"/>
      <c r="S32" s="101"/>
      <c r="T32" s="77"/>
      <c r="U32" s="77"/>
      <c r="V32" s="77"/>
      <c r="W32" s="77"/>
      <c r="X32" s="77"/>
      <c r="Y32" s="77"/>
      <c r="Z32" s="77"/>
    </row>
    <row r="33" ht="13.5" customHeight="1">
      <c r="A33" s="77"/>
      <c r="B33" s="77"/>
      <c r="C33" s="41">
        <v>29.0</v>
      </c>
      <c r="D33" s="102"/>
      <c r="E33" s="68"/>
      <c r="F33" s="68"/>
      <c r="G33" s="68"/>
      <c r="H33" s="68"/>
      <c r="I33" s="68"/>
      <c r="J33" s="68"/>
      <c r="K33" s="68"/>
      <c r="L33" s="68"/>
      <c r="M33" s="68"/>
      <c r="N33" s="68"/>
      <c r="O33" s="68"/>
      <c r="P33" s="100"/>
      <c r="Q33" s="101"/>
      <c r="R33" s="101"/>
      <c r="S33" s="101"/>
      <c r="T33" s="77"/>
      <c r="U33" s="77"/>
      <c r="V33" s="77"/>
      <c r="W33" s="77"/>
      <c r="X33" s="77"/>
      <c r="Y33" s="77"/>
      <c r="Z33" s="77"/>
    </row>
    <row r="34" ht="13.5" customHeight="1">
      <c r="A34" s="77"/>
      <c r="B34" s="77"/>
      <c r="C34" s="41">
        <v>30.0</v>
      </c>
      <c r="D34" s="68"/>
      <c r="E34" s="68"/>
      <c r="F34" s="68"/>
      <c r="G34" s="68"/>
      <c r="H34" s="68"/>
      <c r="I34" s="68"/>
      <c r="J34" s="68"/>
      <c r="K34" s="68"/>
      <c r="L34" s="68"/>
      <c r="M34" s="68"/>
      <c r="N34" s="68"/>
      <c r="O34" s="68"/>
      <c r="P34" s="101"/>
      <c r="Q34" s="101"/>
      <c r="R34" s="101"/>
      <c r="S34" s="101"/>
      <c r="T34" s="111"/>
      <c r="U34" s="111"/>
      <c r="V34" s="77"/>
      <c r="W34" s="77"/>
      <c r="X34" s="77"/>
      <c r="Y34" s="77"/>
      <c r="Z34" s="77"/>
    </row>
    <row r="35" ht="13.5" customHeight="1">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row>
    <row r="36" ht="13.5" customHeight="1">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row>
    <row r="37" ht="13.5" customHeight="1">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row>
    <row r="38" ht="13.5" customHeight="1">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row>
    <row r="39" ht="13.5" customHeight="1">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row>
    <row r="40" ht="13.5" customHeight="1">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ht="13.5" customHeight="1">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ht="13.5" customHeight="1">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ht="13.5" customHeight="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ht="13.5"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ht="13.5" customHeight="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ht="13.5"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ht="13.5" customHeight="1">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ht="13.5" customHeight="1">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ht="13.5" customHeight="1">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ht="13.5" customHeight="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ht="13.5" customHeight="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ht="13.5"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ht="13.5"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ht="13.5"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13.5"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13.5"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13.5"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13.5"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13.5"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13.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13.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13.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13.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13.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13.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13.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13.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13.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13.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13.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13.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13.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13.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13.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13.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13.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13.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13.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13.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13.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13.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13.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13.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13.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13.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13.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13.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13.5"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13.5"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ht="13.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13.5"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13.5"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ht="13.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13.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13.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13.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13.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13.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13.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13.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13.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13.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13.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13.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13.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13.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13.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13.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13.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13.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13.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13.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13.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13.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13.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13.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13.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13.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13.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13.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13.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13.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13.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13.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13.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13.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13.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13.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13.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13.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13.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13.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13.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13.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13.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13.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13.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13.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13.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13.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13.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13.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13.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13.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13.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13.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13.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13.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13.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13.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13.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13.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13.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13.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13.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13.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13.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13.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13.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13.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13.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13.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13.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13.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13.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13.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13.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13.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13.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13.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13.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13.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13.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13.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13.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13.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13.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13.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13.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13.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13.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13.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13.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13.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13.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13.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13.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13.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13.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13.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13.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13.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13.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13.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13.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13.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13.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13.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13.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13.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13.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13.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13.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13.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13.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13.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13.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13.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13.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13.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13.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13.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13.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13.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13.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13.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13.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13.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13.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13.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13.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13.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13.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13.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13.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13.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13.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13.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13.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13.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13.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13.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13.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13.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13.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13.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13.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13.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13.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13.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13.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13.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13.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13.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13.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13.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13.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13.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13.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13.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13.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13.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13.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13.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13.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13.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13.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13.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13.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13.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13.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13.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13.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13.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13.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13.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13.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13.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13.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13.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13.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13.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13.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13.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13.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13.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13.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13.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13.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13.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13.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13.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13.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13.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13.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13.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13.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13.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13.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13.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13.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13.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13.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13.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13.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13.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13.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13.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13.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13.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13.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13.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13.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13.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13.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13.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13.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13.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13.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13.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13.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13.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13.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13.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13.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13.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13.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13.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13.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13.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13.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13.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13.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13.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13.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13.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13.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13.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13.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13.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13.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13.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13.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13.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13.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13.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13.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13.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13.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13.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13.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13.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13.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13.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13.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13.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13.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13.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13.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13.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13.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13.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13.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13.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13.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13.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13.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13.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13.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13.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13.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13.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13.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13.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13.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13.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13.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13.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13.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13.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13.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13.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13.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13.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13.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13.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13.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13.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13.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13.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13.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13.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13.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13.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13.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13.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13.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13.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13.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13.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13.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13.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13.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13.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13.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13.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13.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13.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13.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13.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13.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13.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13.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13.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13.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13.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13.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13.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13.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13.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13.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13.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13.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13.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13.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13.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13.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13.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13.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13.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13.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13.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13.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13.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13.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13.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13.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13.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13.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13.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13.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13.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13.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13.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13.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13.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13.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13.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13.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13.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13.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13.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13.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13.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13.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13.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13.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13.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13.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13.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13.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13.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13.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13.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13.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13.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13.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13.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13.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13.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13.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13.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13.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13.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13.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13.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13.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13.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13.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13.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13.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13.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13.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13.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13.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13.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13.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13.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13.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13.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13.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13.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13.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13.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13.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13.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13.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13.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13.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13.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13.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13.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13.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13.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13.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13.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13.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13.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13.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13.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13.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13.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13.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13.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13.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13.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13.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13.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13.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13.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13.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13.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13.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13.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13.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13.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13.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13.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13.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13.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13.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13.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13.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13.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13.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13.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13.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13.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13.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13.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13.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13.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13.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13.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13.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13.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13.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13.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13.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13.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13.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13.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13.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13.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13.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13.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13.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13.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13.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13.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13.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13.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13.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13.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13.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13.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13.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13.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13.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13.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13.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13.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13.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13.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13.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13.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13.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13.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13.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13.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13.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13.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13.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13.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13.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13.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13.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13.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13.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13.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13.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13.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13.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13.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13.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13.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13.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13.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13.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13.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13.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13.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13.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13.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13.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13.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13.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13.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13.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13.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13.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13.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13.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13.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13.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13.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13.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13.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13.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13.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13.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13.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13.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13.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13.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13.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13.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13.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13.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13.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13.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13.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13.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13.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13.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13.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13.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13.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13.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13.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13.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13.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13.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13.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13.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13.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13.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13.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13.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13.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13.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13.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13.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13.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13.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13.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13.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13.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13.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13.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13.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13.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13.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13.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13.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13.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13.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13.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13.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13.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13.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13.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13.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13.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13.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13.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13.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13.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13.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13.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13.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13.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13.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13.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13.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13.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13.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13.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13.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13.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13.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13.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13.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13.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13.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13.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13.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13.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13.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13.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13.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13.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13.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13.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13.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13.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13.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13.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13.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13.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13.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13.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13.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13.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13.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13.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13.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13.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13.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13.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13.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13.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13.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13.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13.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13.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13.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13.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13.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13.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13.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13.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13.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13.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13.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13.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13.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13.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13.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13.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13.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13.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13.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13.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13.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13.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13.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13.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13.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13.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13.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13.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13.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13.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13.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13.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13.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13.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13.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13.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13.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13.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13.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13.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13.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13.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13.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13.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13.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13.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13.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13.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13.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13.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13.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13.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13.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13.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13.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13.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13.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13.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13.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13.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13.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13.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13.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13.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13.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13.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13.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13.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13.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13.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13.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13.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13.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13.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13.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13.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13.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13.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13.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13.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13.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13.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13.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13.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13.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13.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13.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13.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13.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13.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13.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13.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13.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13.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13.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13.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13.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13.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13.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13.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13.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13.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13.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13.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13.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13.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13.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13.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13.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13.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13.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13.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13.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13.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13.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13.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13.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13.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13.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13.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13.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13.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13.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13.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13.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13.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13.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13.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13.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13.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13.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13.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13.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13.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13.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13.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13.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13.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13.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13.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13.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13.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13.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13.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13.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13.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13.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13.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13.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13.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13.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13.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13.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13.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13.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13.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13.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13.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13.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13.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13.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13.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13.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13.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13.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13.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13.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13.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13.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13.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13.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13.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13.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13.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13.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13.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13.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13.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13.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13.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13.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13.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13.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13.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13.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13.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13.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13.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13.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13.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13.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13.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13.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13.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13.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13.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13.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13.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13.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13.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13.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13.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13.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13.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13.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13.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13.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13.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13.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13.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13.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13.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13.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13.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13.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13.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13.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13.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13.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13.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13.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13.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13.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13.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13.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13.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13.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13.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13.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13.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13.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13.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13.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13.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13.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13.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13.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13.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13.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13.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13.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13.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13.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13.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13.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13.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13.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13.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13.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13.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13.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13.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13.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13.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13.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13.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13.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13.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13.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13.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13.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13.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13.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13.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13.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13.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13.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13.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13.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13.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13.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13.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13.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13.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13.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13.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13.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13.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13.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13.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13.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13.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13.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13.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13.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13.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2">
    <mergeCell ref="E2:I4"/>
    <mergeCell ref="V4:Z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13.86"/>
    <col customWidth="1" min="4" max="4" width="19.86"/>
    <col customWidth="1" min="5" max="5" width="11.0"/>
    <col customWidth="1" min="6" max="6" width="13.57"/>
    <col customWidth="1" min="7" max="7" width="23.14"/>
    <col customWidth="1" min="8" max="8" width="28.43"/>
    <col customWidth="1" min="9" max="9" width="12.43"/>
    <col customWidth="1" min="10" max="10" width="14.57"/>
    <col customWidth="1" min="11" max="13" width="8.86"/>
    <col customWidth="1" min="14" max="14" width="26.43"/>
    <col customWidth="1" min="15" max="16" width="20.57"/>
    <col customWidth="1" min="17" max="17" width="15.86"/>
    <col customWidth="1" min="18" max="24" width="8.86"/>
    <col customWidth="1" min="25" max="25" width="16.14"/>
    <col customWidth="1" min="26" max="26" width="12.43"/>
    <col customWidth="1" min="27" max="27" width="10.86"/>
    <col customWidth="1" min="28" max="41" width="8.86"/>
  </cols>
  <sheetData>
    <row r="1" ht="13.5" customHeight="1">
      <c r="A1" s="77"/>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row>
    <row r="2" ht="13.5" customHeight="1">
      <c r="A2" s="77"/>
      <c r="B2" s="77"/>
      <c r="C2" s="77"/>
      <c r="D2" s="77"/>
      <c r="E2" s="78" t="s">
        <v>708</v>
      </c>
      <c r="F2" s="79"/>
      <c r="G2" s="79"/>
      <c r="H2" s="79"/>
      <c r="I2" s="79"/>
      <c r="J2" s="80"/>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row>
    <row r="3" ht="13.5" customHeight="1">
      <c r="A3" s="77"/>
      <c r="B3" s="77"/>
      <c r="C3" s="77"/>
      <c r="D3" s="77"/>
      <c r="E3" s="81"/>
      <c r="J3" s="82"/>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row>
    <row r="4" ht="13.5" customHeight="1">
      <c r="A4" s="77"/>
      <c r="B4" s="77"/>
      <c r="C4" s="77"/>
      <c r="D4" s="77"/>
      <c r="E4" s="83"/>
      <c r="F4" s="84"/>
      <c r="G4" s="84"/>
      <c r="H4" s="84"/>
      <c r="I4" s="84"/>
      <c r="J4" s="85"/>
      <c r="K4" s="77"/>
      <c r="L4" s="77"/>
      <c r="M4" s="77"/>
      <c r="N4" s="77"/>
      <c r="O4" s="77"/>
      <c r="P4" s="77"/>
      <c r="Q4" s="77"/>
      <c r="R4" s="77"/>
      <c r="S4" s="77"/>
      <c r="T4" s="77"/>
      <c r="U4" s="77"/>
      <c r="V4" s="77"/>
      <c r="W4" s="86" t="s">
        <v>615</v>
      </c>
      <c r="X4" s="79"/>
      <c r="Y4" s="79"/>
      <c r="Z4" s="79"/>
      <c r="AA4" s="80"/>
      <c r="AB4" s="77"/>
      <c r="AC4" s="77"/>
      <c r="AD4" s="77"/>
      <c r="AE4" s="77"/>
      <c r="AF4" s="77"/>
      <c r="AG4" s="77"/>
      <c r="AH4" s="77"/>
      <c r="AI4" s="77"/>
      <c r="AJ4" s="77"/>
      <c r="AK4" s="77"/>
      <c r="AL4" s="77"/>
      <c r="AM4" s="77"/>
      <c r="AN4" s="77"/>
      <c r="AO4" s="77"/>
    </row>
    <row r="5" ht="13.5" customHeight="1">
      <c r="A5" s="77"/>
      <c r="B5" s="77"/>
      <c r="C5" s="77"/>
      <c r="D5" s="77"/>
      <c r="E5" s="77"/>
      <c r="F5" s="77"/>
      <c r="G5" s="77"/>
      <c r="H5" s="77"/>
      <c r="I5" s="77"/>
      <c r="J5" s="77"/>
      <c r="K5" s="77"/>
      <c r="L5" s="77"/>
      <c r="M5" s="77"/>
      <c r="N5" s="77"/>
      <c r="O5" s="77"/>
      <c r="P5" s="77"/>
      <c r="Q5" s="77"/>
      <c r="R5" s="77"/>
      <c r="S5" s="77"/>
      <c r="T5" s="77"/>
      <c r="U5" s="77"/>
      <c r="V5" s="77"/>
      <c r="W5" s="83"/>
      <c r="X5" s="84"/>
      <c r="Y5" s="84"/>
      <c r="Z5" s="84"/>
      <c r="AA5" s="85"/>
      <c r="AB5" s="77"/>
      <c r="AC5" s="77"/>
      <c r="AD5" s="77"/>
      <c r="AE5" s="77"/>
      <c r="AF5" s="77"/>
      <c r="AG5" s="77"/>
      <c r="AH5" s="77"/>
      <c r="AI5" s="77"/>
      <c r="AJ5" s="77"/>
      <c r="AK5" s="77"/>
      <c r="AL5" s="77"/>
      <c r="AM5" s="77"/>
      <c r="AN5" s="77"/>
      <c r="AO5" s="77"/>
    </row>
    <row r="6" ht="13.5" customHeight="1">
      <c r="A6" s="77"/>
      <c r="B6" s="77"/>
      <c r="C6" s="120" t="s">
        <v>293</v>
      </c>
      <c r="D6" s="121" t="s">
        <v>295</v>
      </c>
      <c r="E6" s="121" t="s">
        <v>296</v>
      </c>
      <c r="F6" s="121" t="s">
        <v>297</v>
      </c>
      <c r="G6" s="121" t="s">
        <v>709</v>
      </c>
      <c r="H6" s="121" t="s">
        <v>298</v>
      </c>
      <c r="I6" s="121" t="s">
        <v>299</v>
      </c>
      <c r="J6" s="121" t="s">
        <v>619</v>
      </c>
      <c r="K6" s="122" t="s">
        <v>301</v>
      </c>
      <c r="L6" s="122" t="s">
        <v>681</v>
      </c>
      <c r="M6" s="122" t="s">
        <v>682</v>
      </c>
      <c r="N6" s="122" t="s">
        <v>621</v>
      </c>
      <c r="O6" s="122" t="s">
        <v>405</v>
      </c>
      <c r="P6" s="123" t="s">
        <v>622</v>
      </c>
      <c r="Q6" s="88" t="s">
        <v>624</v>
      </c>
      <c r="R6" s="89"/>
      <c r="S6" s="89"/>
      <c r="T6" s="89"/>
      <c r="U6" s="77"/>
      <c r="V6" s="77"/>
      <c r="W6" s="77"/>
      <c r="X6" s="77"/>
      <c r="Y6" s="77"/>
      <c r="Z6" s="77"/>
      <c r="AA6" s="77"/>
      <c r="AB6" s="77"/>
      <c r="AC6" s="77"/>
      <c r="AD6" s="77"/>
      <c r="AE6" s="77"/>
      <c r="AF6" s="77"/>
      <c r="AG6" s="77"/>
      <c r="AH6" s="77"/>
      <c r="AI6" s="77"/>
      <c r="AJ6" s="77"/>
      <c r="AK6" s="77"/>
      <c r="AL6" s="77"/>
      <c r="AM6" s="77"/>
      <c r="AN6" s="77"/>
      <c r="AO6" s="77"/>
    </row>
    <row r="7" ht="13.5" customHeight="1">
      <c r="A7" s="77"/>
      <c r="B7" s="77"/>
      <c r="C7" s="124">
        <v>1.0</v>
      </c>
      <c r="D7" s="91" t="s">
        <v>710</v>
      </c>
      <c r="E7" s="92" t="s">
        <v>304</v>
      </c>
      <c r="F7" s="92" t="s">
        <v>510</v>
      </c>
      <c r="G7" s="125">
        <v>45782.0</v>
      </c>
      <c r="H7" s="92" t="s">
        <v>447</v>
      </c>
      <c r="I7" s="92" t="s">
        <v>342</v>
      </c>
      <c r="J7" s="92">
        <v>15000.0</v>
      </c>
      <c r="K7" s="92"/>
      <c r="L7" s="126"/>
      <c r="M7" s="126"/>
      <c r="N7" s="126" t="s">
        <v>711</v>
      </c>
      <c r="O7" s="126"/>
      <c r="P7" s="126"/>
      <c r="Q7" s="91"/>
      <c r="R7" s="92"/>
      <c r="S7" s="92"/>
      <c r="T7" s="92"/>
      <c r="U7" s="77"/>
      <c r="V7" s="77"/>
      <c r="W7" s="77"/>
      <c r="X7" s="77" t="s">
        <v>636</v>
      </c>
      <c r="Y7" s="77" t="s">
        <v>637</v>
      </c>
      <c r="Z7" s="77" t="s">
        <v>638</v>
      </c>
      <c r="AA7" s="77" t="s">
        <v>639</v>
      </c>
      <c r="AB7" s="77"/>
      <c r="AC7" s="77"/>
      <c r="AD7" s="77"/>
      <c r="AE7" s="77"/>
      <c r="AF7" s="77"/>
      <c r="AG7" s="77"/>
      <c r="AH7" s="77"/>
      <c r="AI7" s="77"/>
      <c r="AJ7" s="77"/>
      <c r="AK7" s="77"/>
      <c r="AL7" s="77"/>
      <c r="AM7" s="77"/>
      <c r="AN7" s="77"/>
      <c r="AO7" s="77"/>
    </row>
    <row r="8" ht="13.5" customHeight="1">
      <c r="A8" s="77"/>
      <c r="B8" s="77"/>
      <c r="C8" s="124">
        <v>2.0</v>
      </c>
      <c r="D8" s="91" t="s">
        <v>712</v>
      </c>
      <c r="E8" s="110" t="s">
        <v>304</v>
      </c>
      <c r="F8" s="110" t="s">
        <v>378</v>
      </c>
      <c r="G8" s="127">
        <v>45874.0</v>
      </c>
      <c r="H8" s="110" t="s">
        <v>713</v>
      </c>
      <c r="I8" s="110" t="s">
        <v>714</v>
      </c>
      <c r="J8" s="110">
        <v>38000.0</v>
      </c>
      <c r="K8" s="110">
        <v>5500.0</v>
      </c>
      <c r="L8" s="128"/>
      <c r="M8" s="128"/>
      <c r="N8" s="128" t="s">
        <v>711</v>
      </c>
      <c r="O8" s="128"/>
      <c r="P8" s="128"/>
      <c r="Q8" s="91"/>
      <c r="R8" s="89"/>
      <c r="S8" s="89"/>
      <c r="T8" s="89"/>
      <c r="U8" s="77"/>
      <c r="V8" s="77"/>
      <c r="W8" s="77"/>
      <c r="X8" s="77">
        <v>1000.0</v>
      </c>
      <c r="Y8" s="77" t="s">
        <v>715</v>
      </c>
      <c r="Z8" s="77" t="s">
        <v>716</v>
      </c>
      <c r="AA8" s="129">
        <v>45782.0</v>
      </c>
      <c r="AB8" s="77"/>
      <c r="AC8" s="77"/>
      <c r="AD8" s="77"/>
      <c r="AE8" s="77"/>
      <c r="AF8" s="77"/>
      <c r="AG8" s="77"/>
      <c r="AH8" s="77"/>
      <c r="AI8" s="77"/>
      <c r="AJ8" s="77"/>
      <c r="AK8" s="77"/>
      <c r="AL8" s="77"/>
      <c r="AM8" s="77"/>
      <c r="AN8" s="77"/>
      <c r="AO8" s="77"/>
    </row>
    <row r="9" ht="13.5" customHeight="1">
      <c r="A9" s="77"/>
      <c r="B9" s="77"/>
      <c r="C9" s="124">
        <v>4.0</v>
      </c>
      <c r="D9" s="91" t="s">
        <v>717</v>
      </c>
      <c r="E9" s="110" t="s">
        <v>304</v>
      </c>
      <c r="F9" s="110" t="s">
        <v>284</v>
      </c>
      <c r="G9" s="127">
        <v>45996.0</v>
      </c>
      <c r="H9" s="110" t="s">
        <v>713</v>
      </c>
      <c r="I9" s="110" t="s">
        <v>714</v>
      </c>
      <c r="J9" s="110">
        <v>30000.0</v>
      </c>
      <c r="K9" s="130">
        <v>4500.0</v>
      </c>
      <c r="L9" s="131">
        <f>K9*4</f>
        <v>18000</v>
      </c>
      <c r="M9" s="128"/>
      <c r="N9" s="128" t="s">
        <v>711</v>
      </c>
      <c r="O9" s="128"/>
      <c r="P9" s="128"/>
      <c r="Q9" s="91"/>
      <c r="R9" s="92"/>
      <c r="S9" s="92"/>
      <c r="T9" s="92"/>
      <c r="U9" s="77"/>
      <c r="V9" s="77"/>
      <c r="W9" s="77"/>
      <c r="X9" s="77">
        <v>15000.0</v>
      </c>
      <c r="Y9" s="77" t="s">
        <v>718</v>
      </c>
      <c r="Z9" s="77" t="s">
        <v>716</v>
      </c>
      <c r="AA9" s="129">
        <v>45996.0</v>
      </c>
      <c r="AB9" s="77"/>
      <c r="AC9" s="77"/>
      <c r="AD9" s="77"/>
      <c r="AE9" s="77"/>
      <c r="AF9" s="77"/>
      <c r="AG9" s="77"/>
      <c r="AH9" s="77"/>
      <c r="AI9" s="77"/>
      <c r="AJ9" s="77"/>
      <c r="AK9" s="77"/>
      <c r="AL9" s="77"/>
      <c r="AM9" s="77"/>
      <c r="AN9" s="77"/>
      <c r="AO9" s="77"/>
    </row>
    <row r="10" ht="13.5" customHeight="1">
      <c r="A10" s="77"/>
      <c r="B10" s="77"/>
      <c r="C10" s="124">
        <v>5.0</v>
      </c>
      <c r="D10" s="91" t="s">
        <v>719</v>
      </c>
      <c r="E10" s="110" t="s">
        <v>304</v>
      </c>
      <c r="F10" s="110" t="s">
        <v>284</v>
      </c>
      <c r="G10" s="127">
        <v>45996.0</v>
      </c>
      <c r="H10" s="110" t="s">
        <v>713</v>
      </c>
      <c r="I10" s="110" t="s">
        <v>714</v>
      </c>
      <c r="J10" s="110">
        <v>30000.0</v>
      </c>
      <c r="K10" s="110">
        <v>4500.0</v>
      </c>
      <c r="L10" s="128"/>
      <c r="M10" s="128"/>
      <c r="N10" s="128" t="s">
        <v>711</v>
      </c>
      <c r="O10" s="128"/>
      <c r="P10" s="128"/>
      <c r="Q10" s="91"/>
      <c r="R10" s="89"/>
      <c r="S10" s="89"/>
      <c r="T10" s="89"/>
      <c r="U10" s="77"/>
      <c r="V10" s="77"/>
      <c r="W10" s="77"/>
      <c r="X10" s="77">
        <v>2000.0</v>
      </c>
      <c r="Y10" s="77" t="s">
        <v>720</v>
      </c>
      <c r="Z10" s="77" t="s">
        <v>716</v>
      </c>
      <c r="AA10" s="129">
        <v>45996.0</v>
      </c>
      <c r="AB10" s="77"/>
      <c r="AC10" s="77"/>
      <c r="AD10" s="77"/>
      <c r="AE10" s="77"/>
      <c r="AF10" s="77"/>
      <c r="AG10" s="77"/>
      <c r="AH10" s="77"/>
      <c r="AI10" s="77"/>
      <c r="AJ10" s="77"/>
      <c r="AK10" s="77"/>
      <c r="AL10" s="77"/>
      <c r="AM10" s="77"/>
      <c r="AN10" s="77"/>
      <c r="AO10" s="77"/>
    </row>
    <row r="11" ht="13.5" customHeight="1">
      <c r="A11" s="77"/>
      <c r="B11" s="77"/>
      <c r="C11" s="124">
        <v>7.0</v>
      </c>
      <c r="D11" s="132" t="s">
        <v>721</v>
      </c>
      <c r="E11" s="110" t="s">
        <v>304</v>
      </c>
      <c r="F11" s="110" t="s">
        <v>284</v>
      </c>
      <c r="G11" s="127">
        <v>45996.0</v>
      </c>
      <c r="H11" s="110" t="s">
        <v>713</v>
      </c>
      <c r="I11" s="110" t="s">
        <v>714</v>
      </c>
      <c r="J11" s="92">
        <v>30000.0</v>
      </c>
      <c r="K11" s="110">
        <v>4500.0</v>
      </c>
      <c r="L11" s="128"/>
      <c r="M11" s="128"/>
      <c r="N11" s="133" t="s">
        <v>711</v>
      </c>
      <c r="O11" s="134"/>
      <c r="P11" s="134"/>
      <c r="Q11" s="91"/>
      <c r="R11" s="97"/>
      <c r="S11" s="97"/>
      <c r="T11" s="97"/>
      <c r="U11" s="77"/>
      <c r="V11" s="77"/>
      <c r="W11" s="77"/>
      <c r="X11" s="77">
        <v>1000.0</v>
      </c>
      <c r="Y11" s="77" t="s">
        <v>722</v>
      </c>
      <c r="Z11" s="77" t="s">
        <v>716</v>
      </c>
      <c r="AA11" s="77" t="s">
        <v>723</v>
      </c>
      <c r="AB11" s="77"/>
      <c r="AC11" s="77"/>
      <c r="AD11" s="77"/>
      <c r="AE11" s="77"/>
      <c r="AF11" s="77"/>
      <c r="AG11" s="77"/>
      <c r="AH11" s="77"/>
      <c r="AI11" s="77"/>
      <c r="AJ11" s="77"/>
      <c r="AK11" s="77"/>
      <c r="AL11" s="77"/>
      <c r="AM11" s="77"/>
      <c r="AN11" s="77"/>
      <c r="AO11" s="77"/>
    </row>
    <row r="12" ht="13.5" customHeight="1">
      <c r="A12" s="77"/>
      <c r="B12" s="77"/>
      <c r="C12" s="124">
        <v>8.0</v>
      </c>
      <c r="D12" s="91" t="s">
        <v>724</v>
      </c>
      <c r="E12" s="110" t="s">
        <v>355</v>
      </c>
      <c r="F12" s="110" t="s">
        <v>689</v>
      </c>
      <c r="G12" s="110" t="s">
        <v>725</v>
      </c>
      <c r="H12" s="110" t="s">
        <v>713</v>
      </c>
      <c r="I12" s="110" t="s">
        <v>714</v>
      </c>
      <c r="J12" s="92"/>
      <c r="K12" s="110"/>
      <c r="L12" s="128"/>
      <c r="M12" s="128"/>
      <c r="N12" s="135" t="s">
        <v>726</v>
      </c>
      <c r="O12" s="136"/>
      <c r="P12" s="137"/>
      <c r="Q12" s="138"/>
      <c r="R12" s="139"/>
      <c r="S12" s="139"/>
      <c r="T12" s="139"/>
      <c r="U12" s="77"/>
      <c r="V12" s="77"/>
      <c r="W12" s="77"/>
      <c r="X12" s="77">
        <v>4706.0</v>
      </c>
      <c r="Y12" s="77" t="s">
        <v>661</v>
      </c>
      <c r="Z12" s="77" t="s">
        <v>716</v>
      </c>
      <c r="AA12" s="140" t="s">
        <v>727</v>
      </c>
      <c r="AB12" s="77"/>
      <c r="AC12" s="77"/>
      <c r="AD12" s="77"/>
      <c r="AE12" s="77"/>
      <c r="AF12" s="77"/>
      <c r="AG12" s="77"/>
      <c r="AH12" s="77"/>
      <c r="AI12" s="77"/>
      <c r="AJ12" s="77"/>
      <c r="AK12" s="77"/>
      <c r="AL12" s="77"/>
      <c r="AM12" s="77"/>
      <c r="AN12" s="77"/>
      <c r="AO12" s="77"/>
    </row>
    <row r="13" ht="13.5" customHeight="1">
      <c r="A13" s="141"/>
      <c r="B13" s="141"/>
      <c r="C13" s="142">
        <v>12.0</v>
      </c>
      <c r="D13" s="143" t="s">
        <v>728</v>
      </c>
      <c r="E13" s="144" t="s">
        <v>304</v>
      </c>
      <c r="F13" s="144" t="s">
        <v>178</v>
      </c>
      <c r="G13" s="144" t="s">
        <v>729</v>
      </c>
      <c r="H13" s="144" t="s">
        <v>730</v>
      </c>
      <c r="I13" s="144" t="s">
        <v>714</v>
      </c>
      <c r="J13" s="144">
        <v>490000.0</v>
      </c>
      <c r="K13" s="144">
        <v>110000.0</v>
      </c>
      <c r="L13" s="144"/>
      <c r="M13" s="144"/>
      <c r="N13" s="144" t="s">
        <v>711</v>
      </c>
      <c r="O13" s="92"/>
      <c r="P13" s="92"/>
      <c r="Q13" s="92"/>
      <c r="R13" s="89"/>
      <c r="S13" s="89"/>
      <c r="T13" s="89"/>
      <c r="U13" s="89"/>
      <c r="V13" s="89"/>
      <c r="W13" s="89"/>
      <c r="X13" s="89">
        <v>15400.0</v>
      </c>
      <c r="Y13" s="89" t="s">
        <v>731</v>
      </c>
      <c r="Z13" s="89" t="s">
        <v>716</v>
      </c>
      <c r="AA13" s="89" t="s">
        <v>732</v>
      </c>
      <c r="AB13" s="89"/>
      <c r="AC13" s="89"/>
      <c r="AD13" s="89"/>
      <c r="AE13" s="89"/>
      <c r="AF13" s="89"/>
      <c r="AG13" s="89"/>
      <c r="AH13" s="89"/>
      <c r="AI13" s="89"/>
      <c r="AJ13" s="89"/>
      <c r="AK13" s="89"/>
      <c r="AL13" s="89"/>
      <c r="AM13" s="89"/>
      <c r="AN13" s="89"/>
      <c r="AO13" s="89"/>
    </row>
    <row r="14" ht="13.5" customHeight="1">
      <c r="A14" s="77"/>
      <c r="B14" s="77"/>
      <c r="C14" s="124">
        <v>13.0</v>
      </c>
      <c r="D14" s="91" t="s">
        <v>733</v>
      </c>
      <c r="E14" s="110" t="s">
        <v>355</v>
      </c>
      <c r="F14" s="110" t="s">
        <v>734</v>
      </c>
      <c r="G14" s="110"/>
      <c r="H14" s="110" t="s">
        <v>735</v>
      </c>
      <c r="I14" s="110" t="s">
        <v>441</v>
      </c>
      <c r="J14" s="145">
        <v>20000.0</v>
      </c>
      <c r="K14" s="97">
        <v>26000.0</v>
      </c>
      <c r="L14" s="97"/>
      <c r="M14" s="97"/>
      <c r="N14" s="110"/>
      <c r="O14" s="146"/>
      <c r="P14" s="146"/>
      <c r="Q14" s="147"/>
      <c r="R14" s="148"/>
      <c r="S14" s="148"/>
      <c r="T14" s="148"/>
      <c r="U14" s="77"/>
      <c r="V14" s="77"/>
      <c r="W14" s="77"/>
      <c r="X14" s="77">
        <v>90000.0</v>
      </c>
      <c r="Y14" s="77" t="s">
        <v>736</v>
      </c>
      <c r="Z14" s="77" t="s">
        <v>438</v>
      </c>
      <c r="AA14" s="129">
        <v>45843.0</v>
      </c>
      <c r="AB14" s="77"/>
      <c r="AC14" s="77"/>
      <c r="AD14" s="77"/>
      <c r="AE14" s="77"/>
      <c r="AF14" s="77"/>
      <c r="AG14" s="77"/>
      <c r="AH14" s="77"/>
      <c r="AI14" s="77"/>
      <c r="AJ14" s="77"/>
      <c r="AK14" s="77"/>
      <c r="AL14" s="77"/>
      <c r="AM14" s="77"/>
      <c r="AN14" s="77"/>
      <c r="AO14" s="77"/>
    </row>
    <row r="15" ht="13.5" customHeight="1">
      <c r="A15" s="77"/>
      <c r="B15" s="77"/>
      <c r="C15" s="124">
        <v>14.0</v>
      </c>
      <c r="D15" s="91" t="s">
        <v>712</v>
      </c>
      <c r="E15" s="110" t="s">
        <v>56</v>
      </c>
      <c r="F15" s="110" t="s">
        <v>378</v>
      </c>
      <c r="G15" s="127">
        <v>45663.0</v>
      </c>
      <c r="H15" s="110" t="s">
        <v>713</v>
      </c>
      <c r="I15" s="110" t="s">
        <v>387</v>
      </c>
      <c r="J15" s="92">
        <v>70000.0</v>
      </c>
      <c r="K15" s="97">
        <v>3500.0</v>
      </c>
      <c r="L15" s="97"/>
      <c r="M15" s="97"/>
      <c r="N15" s="144" t="s">
        <v>711</v>
      </c>
      <c r="O15" s="110">
        <v>13500.0</v>
      </c>
      <c r="P15" s="77" t="s">
        <v>737</v>
      </c>
      <c r="Q15" s="91"/>
      <c r="R15" s="89"/>
      <c r="S15" s="89"/>
      <c r="T15" s="89"/>
      <c r="U15" s="77"/>
      <c r="V15" s="77"/>
      <c r="W15" s="77"/>
      <c r="X15" s="77">
        <v>3800.0</v>
      </c>
      <c r="Y15" s="77" t="s">
        <v>738</v>
      </c>
      <c r="Z15" s="77" t="s">
        <v>438</v>
      </c>
      <c r="AA15" s="129" t="s">
        <v>739</v>
      </c>
      <c r="AB15" s="77"/>
      <c r="AC15" s="77"/>
      <c r="AD15" s="77"/>
      <c r="AE15" s="77"/>
      <c r="AF15" s="77"/>
      <c r="AG15" s="77"/>
      <c r="AH15" s="77"/>
      <c r="AI15" s="77"/>
      <c r="AJ15" s="77"/>
      <c r="AK15" s="77"/>
      <c r="AL15" s="77"/>
      <c r="AM15" s="77"/>
      <c r="AN15" s="77"/>
      <c r="AO15" s="77"/>
    </row>
    <row r="16" ht="13.5" customHeight="1">
      <c r="A16" s="77"/>
      <c r="B16" s="77"/>
      <c r="C16" s="124">
        <v>15.0</v>
      </c>
      <c r="D16" s="91"/>
      <c r="E16" s="110"/>
      <c r="F16" s="110"/>
      <c r="G16" s="110"/>
      <c r="H16" s="110"/>
      <c r="I16" s="110"/>
      <c r="J16" s="110"/>
      <c r="K16" s="110"/>
      <c r="L16" s="110"/>
      <c r="M16" s="110"/>
      <c r="N16" s="110"/>
      <c r="O16" s="110"/>
      <c r="P16" s="110"/>
      <c r="Q16" s="91"/>
      <c r="R16" s="89"/>
      <c r="S16" s="89"/>
      <c r="T16" s="89"/>
      <c r="U16" s="77"/>
      <c r="V16" s="77"/>
      <c r="W16" s="77"/>
      <c r="X16" s="77"/>
      <c r="Y16" s="77"/>
      <c r="Z16" s="77"/>
      <c r="AA16" s="77"/>
      <c r="AB16" s="77"/>
      <c r="AC16" s="77"/>
      <c r="AD16" s="77"/>
      <c r="AE16" s="77"/>
      <c r="AF16" s="77"/>
      <c r="AG16" s="77"/>
      <c r="AH16" s="77"/>
      <c r="AI16" s="77"/>
      <c r="AJ16" s="77"/>
      <c r="AK16" s="77"/>
      <c r="AL16" s="77"/>
      <c r="AM16" s="77"/>
      <c r="AN16" s="77"/>
      <c r="AO16" s="77"/>
    </row>
    <row r="17" ht="13.5" customHeight="1">
      <c r="A17" s="77"/>
      <c r="B17" s="77"/>
      <c r="C17" s="124">
        <v>16.0</v>
      </c>
      <c r="D17" s="91"/>
      <c r="E17" s="110"/>
      <c r="F17" s="110"/>
      <c r="G17" s="110"/>
      <c r="H17" s="110"/>
      <c r="I17" s="110"/>
      <c r="J17" s="110"/>
      <c r="K17" s="110"/>
      <c r="L17" s="110"/>
      <c r="M17" s="110"/>
      <c r="N17" s="101"/>
      <c r="O17" s="101"/>
      <c r="P17" s="101"/>
      <c r="Q17" s="100"/>
      <c r="R17" s="101"/>
      <c r="S17" s="101"/>
      <c r="T17" s="101"/>
      <c r="U17" s="77"/>
      <c r="V17" s="77"/>
      <c r="W17" s="77"/>
      <c r="X17" s="77"/>
      <c r="Y17" s="77" t="s">
        <v>740</v>
      </c>
      <c r="Z17" s="77"/>
      <c r="AA17" s="77"/>
      <c r="AB17" s="77"/>
      <c r="AC17" s="77"/>
      <c r="AD17" s="77"/>
      <c r="AE17" s="77"/>
      <c r="AF17" s="77"/>
      <c r="AG17" s="77"/>
      <c r="AH17" s="77"/>
      <c r="AI17" s="77"/>
      <c r="AJ17" s="77"/>
      <c r="AK17" s="77"/>
      <c r="AL17" s="77"/>
      <c r="AM17" s="77"/>
      <c r="AN17" s="77"/>
      <c r="AO17" s="77"/>
    </row>
    <row r="18" ht="13.5" customHeight="1">
      <c r="A18" s="77"/>
      <c r="B18" s="77"/>
      <c r="C18" s="124">
        <v>17.0</v>
      </c>
      <c r="D18" s="91"/>
      <c r="E18" s="110"/>
      <c r="F18" s="110"/>
      <c r="G18" s="110"/>
      <c r="H18" s="110"/>
      <c r="I18" s="110"/>
      <c r="J18" s="110"/>
      <c r="K18" s="101"/>
      <c r="L18" s="101"/>
      <c r="M18" s="101"/>
      <c r="N18" s="101"/>
      <c r="O18" s="101"/>
      <c r="P18" s="101"/>
      <c r="Q18" s="100"/>
      <c r="R18" s="101"/>
      <c r="S18" s="101"/>
      <c r="T18" s="101"/>
      <c r="U18" s="77"/>
      <c r="V18" s="77"/>
      <c r="W18" s="77"/>
      <c r="X18" s="77">
        <v>30000.0</v>
      </c>
      <c r="Y18" s="77" t="s">
        <v>714</v>
      </c>
      <c r="Z18" s="77" t="s">
        <v>355</v>
      </c>
      <c r="AA18" s="77" t="s">
        <v>741</v>
      </c>
      <c r="AB18" s="77"/>
      <c r="AC18" s="77"/>
      <c r="AD18" s="77"/>
      <c r="AE18" s="77"/>
      <c r="AF18" s="77"/>
      <c r="AG18" s="77"/>
      <c r="AH18" s="77"/>
      <c r="AI18" s="77"/>
      <c r="AJ18" s="77"/>
      <c r="AK18" s="77"/>
      <c r="AL18" s="77"/>
      <c r="AM18" s="77"/>
      <c r="AN18" s="77"/>
      <c r="AO18" s="77"/>
    </row>
    <row r="19" ht="13.5" customHeight="1">
      <c r="A19" s="77"/>
      <c r="B19" s="77"/>
      <c r="C19" s="124">
        <v>18.0</v>
      </c>
      <c r="D19" s="91"/>
      <c r="E19" s="110"/>
      <c r="F19" s="110"/>
      <c r="G19" s="110"/>
      <c r="H19" s="110"/>
      <c r="I19" s="110"/>
      <c r="J19" s="110"/>
      <c r="K19" s="101"/>
      <c r="L19" s="101"/>
      <c r="M19" s="101"/>
      <c r="N19" s="101"/>
      <c r="O19" s="101"/>
      <c r="P19" s="101"/>
      <c r="Q19" s="100"/>
      <c r="R19" s="101"/>
      <c r="S19" s="101"/>
      <c r="T19" s="101"/>
      <c r="U19" s="77"/>
      <c r="V19" s="77"/>
      <c r="W19" s="77"/>
      <c r="X19" s="77">
        <v>10000.0</v>
      </c>
      <c r="Y19" s="77" t="s">
        <v>742</v>
      </c>
      <c r="Z19" s="77" t="s">
        <v>355</v>
      </c>
      <c r="AA19" s="77" t="s">
        <v>743</v>
      </c>
      <c r="AB19" s="77"/>
      <c r="AC19" s="77"/>
      <c r="AD19" s="77"/>
      <c r="AE19" s="77"/>
      <c r="AF19" s="77"/>
      <c r="AG19" s="77"/>
      <c r="AH19" s="77"/>
      <c r="AI19" s="77"/>
      <c r="AJ19" s="77"/>
      <c r="AK19" s="77"/>
      <c r="AL19" s="77"/>
      <c r="AM19" s="77"/>
      <c r="AN19" s="77"/>
      <c r="AO19" s="77"/>
    </row>
    <row r="20" ht="14.25" customHeight="1">
      <c r="A20" s="77"/>
      <c r="B20" s="77"/>
      <c r="C20" s="124">
        <v>19.0</v>
      </c>
      <c r="D20" s="100"/>
      <c r="E20" s="101"/>
      <c r="F20" s="101"/>
      <c r="G20" s="101" t="s">
        <v>744</v>
      </c>
      <c r="H20" s="149"/>
      <c r="I20" s="114"/>
      <c r="J20" s="115"/>
      <c r="K20" s="116"/>
      <c r="L20" s="116"/>
      <c r="M20" s="116"/>
      <c r="N20" s="101"/>
      <c r="O20" s="101"/>
      <c r="P20" s="101"/>
      <c r="Q20" s="100"/>
      <c r="R20" s="101"/>
      <c r="S20" s="101"/>
      <c r="T20" s="101"/>
      <c r="U20" s="77"/>
      <c r="V20" s="77"/>
      <c r="W20" s="77"/>
      <c r="X20" s="77">
        <v>35000.0</v>
      </c>
      <c r="Y20" s="77" t="s">
        <v>745</v>
      </c>
      <c r="Z20" s="77" t="s">
        <v>355</v>
      </c>
      <c r="AA20" s="77" t="s">
        <v>746</v>
      </c>
      <c r="AB20" s="77"/>
      <c r="AC20" s="77"/>
      <c r="AD20" s="77"/>
      <c r="AE20" s="77"/>
      <c r="AF20" s="77"/>
      <c r="AG20" s="77"/>
      <c r="AH20" s="77"/>
      <c r="AI20" s="77"/>
      <c r="AJ20" s="77"/>
      <c r="AK20" s="77"/>
      <c r="AL20" s="77"/>
      <c r="AM20" s="77"/>
      <c r="AN20" s="77"/>
      <c r="AO20" s="77"/>
    </row>
    <row r="21" ht="13.5" customHeight="1">
      <c r="A21" s="77"/>
      <c r="B21" s="77"/>
      <c r="C21" s="124">
        <v>20.0</v>
      </c>
      <c r="D21" s="100"/>
      <c r="E21" s="101"/>
      <c r="F21" s="101">
        <f>SUM(J8:J11)</f>
        <v>128000</v>
      </c>
      <c r="G21" s="101">
        <v>37000.0</v>
      </c>
      <c r="H21" s="101"/>
      <c r="I21" s="117"/>
      <c r="J21" s="118"/>
      <c r="K21" s="119"/>
      <c r="L21" s="119"/>
      <c r="M21" s="119"/>
      <c r="N21" s="101"/>
      <c r="O21" s="101"/>
      <c r="P21" s="101"/>
      <c r="Q21" s="100"/>
      <c r="R21" s="101"/>
      <c r="S21" s="101"/>
      <c r="T21" s="101"/>
      <c r="U21" s="77"/>
      <c r="V21" s="77"/>
      <c r="W21" s="77"/>
      <c r="X21" s="77"/>
      <c r="Y21" s="77"/>
      <c r="Z21" s="77"/>
      <c r="AA21" s="77"/>
      <c r="AB21" s="77"/>
      <c r="AC21" s="77"/>
      <c r="AD21" s="77"/>
      <c r="AE21" s="77"/>
      <c r="AF21" s="77"/>
      <c r="AG21" s="77"/>
      <c r="AH21" s="77"/>
      <c r="AI21" s="77"/>
      <c r="AJ21" s="77"/>
      <c r="AK21" s="77"/>
      <c r="AL21" s="77"/>
      <c r="AM21" s="77"/>
      <c r="AN21" s="77"/>
      <c r="AO21" s="77"/>
    </row>
    <row r="22" ht="13.5" customHeight="1">
      <c r="A22" s="77"/>
      <c r="B22" s="77"/>
      <c r="C22" s="124">
        <v>21.0</v>
      </c>
      <c r="D22" s="100"/>
      <c r="E22" s="101"/>
      <c r="F22" s="101">
        <f>F21-G21</f>
        <v>91000</v>
      </c>
      <c r="G22" s="101"/>
      <c r="H22" s="101"/>
      <c r="I22" s="101"/>
      <c r="J22" s="101"/>
      <c r="K22" s="101"/>
      <c r="L22" s="101"/>
      <c r="M22" s="101"/>
      <c r="N22" s="101"/>
      <c r="O22" s="101"/>
      <c r="P22" s="101"/>
      <c r="Q22" s="100"/>
      <c r="R22" s="101"/>
      <c r="S22" s="101"/>
      <c r="T22" s="101"/>
      <c r="U22" s="77"/>
      <c r="V22" s="77"/>
      <c r="W22" s="77" t="s">
        <v>304</v>
      </c>
      <c r="X22" s="77">
        <f>SUM(X8:X13)</f>
        <v>39106</v>
      </c>
      <c r="Y22" s="77">
        <f t="shared" ref="Y22:Y23" si="1">X22/2</f>
        <v>19553</v>
      </c>
      <c r="Z22" s="77">
        <v>19553.0</v>
      </c>
      <c r="AA22" s="77"/>
      <c r="AB22" s="77"/>
      <c r="AC22" s="77"/>
      <c r="AD22" s="77"/>
      <c r="AE22" s="77"/>
      <c r="AF22" s="77"/>
      <c r="AG22" s="77"/>
      <c r="AH22" s="77"/>
      <c r="AI22" s="77"/>
      <c r="AJ22" s="77"/>
      <c r="AK22" s="77"/>
      <c r="AL22" s="77"/>
      <c r="AM22" s="77"/>
      <c r="AN22" s="77"/>
      <c r="AO22" s="77"/>
    </row>
    <row r="23" ht="13.5" customHeight="1">
      <c r="A23" s="77"/>
      <c r="B23" s="77"/>
      <c r="C23" s="124">
        <v>22.0</v>
      </c>
      <c r="D23" s="100"/>
      <c r="E23" s="101"/>
      <c r="F23" s="101"/>
      <c r="G23" s="101"/>
      <c r="H23" s="101"/>
      <c r="I23" s="110"/>
      <c r="J23" s="91"/>
      <c r="K23" s="101"/>
      <c r="L23" s="101"/>
      <c r="M23" s="101"/>
      <c r="N23" s="101"/>
      <c r="O23" s="101"/>
      <c r="P23" s="101"/>
      <c r="Q23" s="100"/>
      <c r="R23" s="101"/>
      <c r="S23" s="101"/>
      <c r="T23" s="101"/>
      <c r="U23" s="77"/>
      <c r="V23" s="77"/>
      <c r="W23" s="77" t="s">
        <v>355</v>
      </c>
      <c r="X23" s="77">
        <f>SUM(X14:X15)</f>
        <v>93800</v>
      </c>
      <c r="Y23" s="77">
        <f t="shared" si="1"/>
        <v>46900</v>
      </c>
      <c r="Z23" s="77">
        <v>46000.0</v>
      </c>
      <c r="AA23" s="77"/>
      <c r="AB23" s="77"/>
      <c r="AC23" s="77"/>
      <c r="AD23" s="77"/>
      <c r="AE23" s="77"/>
      <c r="AF23" s="77"/>
      <c r="AG23" s="77"/>
      <c r="AH23" s="77"/>
      <c r="AI23" s="77"/>
      <c r="AJ23" s="77"/>
      <c r="AK23" s="77"/>
      <c r="AL23" s="77"/>
      <c r="AM23" s="77"/>
      <c r="AN23" s="77"/>
      <c r="AO23" s="77"/>
    </row>
    <row r="24" ht="13.5" customHeight="1">
      <c r="A24" s="77"/>
      <c r="B24" s="77"/>
      <c r="C24" s="124">
        <v>23.0</v>
      </c>
      <c r="D24" s="100"/>
      <c r="E24" s="101"/>
      <c r="F24" s="101"/>
      <c r="G24" s="101"/>
      <c r="H24" s="101"/>
      <c r="I24" s="110"/>
      <c r="J24" s="91"/>
      <c r="K24" s="101"/>
      <c r="L24" s="101"/>
      <c r="M24" s="101"/>
      <c r="N24" s="101"/>
      <c r="O24" s="101"/>
      <c r="P24" s="101"/>
      <c r="Q24" s="100"/>
      <c r="R24" s="101"/>
      <c r="S24" s="101"/>
      <c r="T24" s="101"/>
      <c r="U24" s="77"/>
      <c r="V24" s="77"/>
      <c r="W24" s="77"/>
      <c r="X24" s="77"/>
      <c r="Y24" s="77"/>
      <c r="Z24" s="77">
        <f>Z23-Z22</f>
        <v>26447</v>
      </c>
      <c r="AA24" s="77"/>
      <c r="AB24" s="77"/>
      <c r="AC24" s="77"/>
      <c r="AD24" s="77"/>
      <c r="AE24" s="77"/>
      <c r="AF24" s="77"/>
      <c r="AG24" s="77"/>
      <c r="AH24" s="77"/>
      <c r="AI24" s="77"/>
      <c r="AJ24" s="77"/>
      <c r="AK24" s="77"/>
      <c r="AL24" s="77"/>
      <c r="AM24" s="77"/>
      <c r="AN24" s="77"/>
      <c r="AO24" s="77"/>
    </row>
    <row r="25" ht="13.5" customHeight="1">
      <c r="A25" s="77"/>
      <c r="B25" s="77"/>
      <c r="C25" s="124">
        <v>24.0</v>
      </c>
      <c r="D25" s="100"/>
      <c r="E25" s="101"/>
      <c r="F25" s="101"/>
      <c r="G25" s="101"/>
      <c r="H25" s="101"/>
      <c r="I25" s="110"/>
      <c r="J25" s="91"/>
      <c r="K25" s="101"/>
      <c r="L25" s="101"/>
      <c r="M25" s="101"/>
      <c r="N25" s="101"/>
      <c r="O25" s="101"/>
      <c r="P25" s="101"/>
      <c r="Q25" s="100"/>
      <c r="R25" s="101"/>
      <c r="S25" s="101"/>
      <c r="T25" s="101"/>
      <c r="U25" s="77"/>
      <c r="V25" s="77"/>
      <c r="W25" s="77"/>
      <c r="X25" s="77"/>
      <c r="Y25" s="77"/>
      <c r="Z25" s="77"/>
      <c r="AA25" s="77"/>
      <c r="AB25" s="77"/>
      <c r="AC25" s="77"/>
      <c r="AD25" s="77"/>
      <c r="AE25" s="77"/>
      <c r="AF25" s="77"/>
      <c r="AG25" s="77"/>
      <c r="AH25" s="77"/>
      <c r="AI25" s="77"/>
      <c r="AJ25" s="77"/>
      <c r="AK25" s="77"/>
      <c r="AL25" s="77"/>
      <c r="AM25" s="77"/>
      <c r="AN25" s="77"/>
      <c r="AO25" s="77"/>
    </row>
    <row r="26" ht="13.5" customHeight="1">
      <c r="A26" s="77"/>
      <c r="B26" s="77"/>
      <c r="C26" s="124">
        <v>25.0</v>
      </c>
      <c r="D26" s="100"/>
      <c r="E26" s="101"/>
      <c r="F26" s="101"/>
      <c r="G26" s="101"/>
      <c r="H26" s="101"/>
      <c r="I26" s="110"/>
      <c r="J26" s="101"/>
      <c r="K26" s="101"/>
      <c r="L26" s="101"/>
      <c r="M26" s="101"/>
      <c r="N26" s="101"/>
      <c r="O26" s="101"/>
      <c r="P26" s="101"/>
      <c r="Q26" s="100"/>
      <c r="R26" s="101"/>
      <c r="S26" s="101"/>
      <c r="T26" s="101"/>
      <c r="U26" s="77"/>
      <c r="V26" s="77"/>
      <c r="W26" s="77"/>
      <c r="X26" s="77"/>
      <c r="Y26" s="77"/>
      <c r="Z26" s="77"/>
      <c r="AA26" s="77"/>
      <c r="AB26" s="77"/>
      <c r="AC26" s="77"/>
      <c r="AD26" s="77"/>
      <c r="AE26" s="77"/>
      <c r="AF26" s="77"/>
      <c r="AG26" s="77"/>
      <c r="AH26" s="77"/>
      <c r="AI26" s="77"/>
      <c r="AJ26" s="77"/>
      <c r="AK26" s="77"/>
      <c r="AL26" s="77"/>
      <c r="AM26" s="77"/>
      <c r="AN26" s="77"/>
      <c r="AO26" s="77"/>
    </row>
    <row r="27" ht="13.5" customHeight="1">
      <c r="A27" s="77"/>
      <c r="B27" s="77"/>
      <c r="C27" s="124">
        <v>26.0</v>
      </c>
      <c r="D27" s="100"/>
      <c r="E27" s="101"/>
      <c r="F27" s="101"/>
      <c r="G27" s="101"/>
      <c r="H27" s="101"/>
      <c r="I27" s="101"/>
      <c r="J27" s="101"/>
      <c r="K27" s="101"/>
      <c r="L27" s="101"/>
      <c r="M27" s="101"/>
      <c r="N27" s="101"/>
      <c r="O27" s="101"/>
      <c r="P27" s="101"/>
      <c r="Q27" s="100"/>
      <c r="R27" s="101"/>
      <c r="S27" s="101"/>
      <c r="T27" s="101"/>
      <c r="U27" s="77"/>
      <c r="V27" s="77"/>
      <c r="W27" s="77"/>
      <c r="X27" s="77"/>
      <c r="Y27" s="77"/>
      <c r="Z27" s="77"/>
      <c r="AA27" s="77"/>
      <c r="AB27" s="77"/>
      <c r="AC27" s="77"/>
      <c r="AD27" s="77"/>
      <c r="AE27" s="77"/>
      <c r="AF27" s="77"/>
      <c r="AG27" s="77"/>
      <c r="AH27" s="77"/>
      <c r="AI27" s="77"/>
      <c r="AJ27" s="77"/>
      <c r="AK27" s="77"/>
      <c r="AL27" s="77"/>
      <c r="AM27" s="77"/>
      <c r="AN27" s="77"/>
      <c r="AO27" s="77"/>
    </row>
    <row r="28" ht="13.5" customHeight="1">
      <c r="A28" s="77"/>
      <c r="B28" s="77"/>
      <c r="C28" s="124">
        <v>27.0</v>
      </c>
      <c r="D28" s="100"/>
      <c r="E28" s="101"/>
      <c r="F28" s="101"/>
      <c r="G28" s="101"/>
      <c r="H28" s="101"/>
      <c r="I28" s="101"/>
      <c r="J28" s="101"/>
      <c r="K28" s="101"/>
      <c r="L28" s="101"/>
      <c r="M28" s="101"/>
      <c r="N28" s="101"/>
      <c r="O28" s="101"/>
      <c r="P28" s="101"/>
      <c r="Q28" s="100"/>
      <c r="R28" s="101"/>
      <c r="S28" s="101"/>
      <c r="T28" s="101"/>
      <c r="U28" s="77"/>
      <c r="V28" s="77"/>
      <c r="W28" s="77"/>
      <c r="X28" s="77"/>
      <c r="Y28" s="77"/>
      <c r="Z28" s="77"/>
      <c r="AA28" s="77"/>
      <c r="AB28" s="77"/>
      <c r="AC28" s="77"/>
      <c r="AD28" s="77"/>
      <c r="AE28" s="77"/>
      <c r="AF28" s="77"/>
      <c r="AG28" s="77"/>
      <c r="AH28" s="77"/>
      <c r="AI28" s="77"/>
      <c r="AJ28" s="77"/>
      <c r="AK28" s="77"/>
      <c r="AL28" s="77"/>
      <c r="AM28" s="77"/>
      <c r="AN28" s="77"/>
      <c r="AO28" s="77"/>
    </row>
    <row r="29" ht="13.5" customHeight="1">
      <c r="A29" s="77"/>
      <c r="B29" s="77"/>
      <c r="C29" s="124">
        <v>28.0</v>
      </c>
      <c r="D29" s="100"/>
      <c r="E29" s="101"/>
      <c r="F29" s="101"/>
      <c r="G29" s="101"/>
      <c r="H29" s="101"/>
      <c r="I29" s="101"/>
      <c r="J29" s="101"/>
      <c r="K29" s="101"/>
      <c r="L29" s="101"/>
      <c r="M29" s="101"/>
      <c r="N29" s="101"/>
      <c r="O29" s="101"/>
      <c r="P29" s="101"/>
      <c r="Q29" s="100"/>
      <c r="R29" s="101"/>
      <c r="S29" s="101"/>
      <c r="T29" s="101"/>
      <c r="U29" s="77"/>
      <c r="V29" s="77"/>
      <c r="W29" s="77"/>
      <c r="X29" s="77"/>
      <c r="Y29" s="77"/>
      <c r="Z29" s="77"/>
      <c r="AA29" s="77"/>
      <c r="AB29" s="77"/>
      <c r="AC29" s="77"/>
      <c r="AD29" s="77"/>
      <c r="AE29" s="77"/>
      <c r="AF29" s="77"/>
      <c r="AG29" s="77"/>
      <c r="AH29" s="77"/>
      <c r="AI29" s="77"/>
      <c r="AJ29" s="77"/>
      <c r="AK29" s="77"/>
      <c r="AL29" s="77"/>
      <c r="AM29" s="77"/>
      <c r="AN29" s="77"/>
      <c r="AO29" s="77"/>
    </row>
    <row r="30" ht="13.5" customHeight="1">
      <c r="A30" s="77"/>
      <c r="B30" s="77"/>
      <c r="C30" s="124">
        <v>29.0</v>
      </c>
      <c r="D30" s="100"/>
      <c r="E30" s="101"/>
      <c r="F30" s="101"/>
      <c r="G30" s="101"/>
      <c r="H30" s="101"/>
      <c r="I30" s="101"/>
      <c r="J30" s="101"/>
      <c r="K30" s="101"/>
      <c r="L30" s="101"/>
      <c r="M30" s="101"/>
      <c r="N30" s="101"/>
      <c r="O30" s="101"/>
      <c r="P30" s="101"/>
      <c r="Q30" s="100"/>
      <c r="R30" s="101"/>
      <c r="S30" s="101"/>
      <c r="T30" s="101"/>
      <c r="U30" s="77"/>
      <c r="V30" s="77"/>
      <c r="W30" s="77"/>
      <c r="X30" s="77"/>
      <c r="Y30" s="77"/>
      <c r="Z30" s="77"/>
      <c r="AA30" s="77"/>
      <c r="AB30" s="77"/>
      <c r="AC30" s="77"/>
      <c r="AD30" s="77"/>
      <c r="AE30" s="77"/>
      <c r="AF30" s="77"/>
      <c r="AG30" s="77"/>
      <c r="AH30" s="77"/>
      <c r="AI30" s="77"/>
      <c r="AJ30" s="77"/>
      <c r="AK30" s="77"/>
      <c r="AL30" s="77"/>
      <c r="AM30" s="77"/>
      <c r="AN30" s="77"/>
      <c r="AO30" s="77"/>
    </row>
    <row r="31" ht="13.5" customHeight="1">
      <c r="A31" s="77"/>
      <c r="B31" s="77"/>
      <c r="C31" s="124">
        <v>30.0</v>
      </c>
      <c r="D31" s="101"/>
      <c r="E31" s="101"/>
      <c r="F31" s="101"/>
      <c r="G31" s="101"/>
      <c r="H31" s="101"/>
      <c r="I31" s="101"/>
      <c r="J31" s="101"/>
      <c r="K31" s="101"/>
      <c r="L31" s="101"/>
      <c r="M31" s="101"/>
      <c r="N31" s="101"/>
      <c r="O31" s="101"/>
      <c r="P31" s="101"/>
      <c r="Q31" s="101"/>
      <c r="R31" s="101"/>
      <c r="S31" s="101"/>
      <c r="T31" s="101"/>
      <c r="U31" s="111"/>
      <c r="V31" s="111"/>
      <c r="W31" s="77"/>
      <c r="X31" s="77"/>
      <c r="Y31" s="77"/>
      <c r="Z31" s="77"/>
      <c r="AA31" s="77"/>
      <c r="AB31" s="77"/>
      <c r="AC31" s="77"/>
      <c r="AD31" s="77"/>
      <c r="AE31" s="77"/>
      <c r="AF31" s="77"/>
      <c r="AG31" s="77"/>
      <c r="AH31" s="77"/>
      <c r="AI31" s="77"/>
      <c r="AJ31" s="77"/>
      <c r="AK31" s="77"/>
      <c r="AL31" s="77"/>
      <c r="AM31" s="77"/>
      <c r="AN31" s="77"/>
      <c r="AO31" s="77"/>
    </row>
    <row r="32" ht="13.5" customHeight="1">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row>
    <row r="33" ht="13.5" customHeight="1">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row>
    <row r="34" ht="13.5" customHeight="1">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row>
    <row r="35" ht="13.5" customHeight="1">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row>
    <row r="36" ht="13.5" customHeight="1">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row>
    <row r="37" ht="13.5" customHeight="1">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row>
    <row r="38" ht="13.5" customHeight="1">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row>
    <row r="39" ht="13.5" customHeight="1">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row>
    <row r="40" ht="13.5" customHeight="1">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77"/>
      <c r="AN40" s="77"/>
      <c r="AO40" s="77"/>
    </row>
    <row r="41" ht="13.5" customHeight="1">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c r="AK41" s="77"/>
      <c r="AL41" s="77"/>
      <c r="AM41" s="77"/>
      <c r="AN41" s="77"/>
      <c r="AO41" s="77"/>
    </row>
    <row r="42" ht="13.5" customHeight="1">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c r="AA42" s="77"/>
      <c r="AB42" s="77"/>
      <c r="AC42" s="77"/>
      <c r="AD42" s="77"/>
      <c r="AE42" s="77"/>
      <c r="AF42" s="77"/>
      <c r="AG42" s="77"/>
      <c r="AH42" s="77"/>
      <c r="AI42" s="77"/>
      <c r="AJ42" s="77"/>
      <c r="AK42" s="77"/>
      <c r="AL42" s="77"/>
      <c r="AM42" s="77"/>
      <c r="AN42" s="77"/>
      <c r="AO42" s="77"/>
    </row>
    <row r="43" ht="13.5" customHeight="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c r="AA43" s="77"/>
      <c r="AB43" s="77"/>
      <c r="AC43" s="77"/>
      <c r="AD43" s="77"/>
      <c r="AE43" s="77"/>
      <c r="AF43" s="77"/>
      <c r="AG43" s="77"/>
      <c r="AH43" s="77"/>
      <c r="AI43" s="77"/>
      <c r="AJ43" s="77"/>
      <c r="AK43" s="77"/>
      <c r="AL43" s="77"/>
      <c r="AM43" s="77"/>
      <c r="AN43" s="77"/>
      <c r="AO43" s="77"/>
    </row>
    <row r="44" ht="13.5"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c r="AG44" s="77"/>
      <c r="AH44" s="77"/>
      <c r="AI44" s="77"/>
      <c r="AJ44" s="77"/>
      <c r="AK44" s="77"/>
      <c r="AL44" s="77"/>
      <c r="AM44" s="77"/>
      <c r="AN44" s="77"/>
      <c r="AO44" s="77"/>
    </row>
    <row r="45" ht="13.5" customHeight="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c r="AK45" s="77"/>
      <c r="AL45" s="77"/>
      <c r="AM45" s="77"/>
      <c r="AN45" s="77"/>
      <c r="AO45" s="77"/>
    </row>
    <row r="46" ht="13.5"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c r="AA46" s="77"/>
      <c r="AB46" s="77"/>
      <c r="AC46" s="77"/>
      <c r="AD46" s="77"/>
      <c r="AE46" s="77"/>
      <c r="AF46" s="77"/>
      <c r="AG46" s="77"/>
      <c r="AH46" s="77"/>
      <c r="AI46" s="77"/>
      <c r="AJ46" s="77"/>
      <c r="AK46" s="77"/>
      <c r="AL46" s="77"/>
      <c r="AM46" s="77"/>
      <c r="AN46" s="77"/>
      <c r="AO46" s="77"/>
    </row>
    <row r="47" ht="13.5" customHeight="1">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c r="AK47" s="77"/>
      <c r="AL47" s="77"/>
      <c r="AM47" s="77"/>
      <c r="AN47" s="77"/>
      <c r="AO47" s="77"/>
    </row>
    <row r="48" ht="13.5" customHeight="1">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c r="AK48" s="77"/>
      <c r="AL48" s="77"/>
      <c r="AM48" s="77"/>
      <c r="AN48" s="77"/>
      <c r="AO48" s="77"/>
    </row>
    <row r="49" ht="13.5" customHeight="1">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c r="AK49" s="77"/>
      <c r="AL49" s="77"/>
      <c r="AM49" s="77"/>
      <c r="AN49" s="77"/>
      <c r="AO49" s="77"/>
    </row>
    <row r="50" ht="13.5" customHeight="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c r="AO50" s="77"/>
    </row>
    <row r="51" ht="13.5" customHeight="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c r="AK51" s="77"/>
      <c r="AL51" s="77"/>
      <c r="AM51" s="77"/>
      <c r="AN51" s="77"/>
      <c r="AO51" s="77"/>
    </row>
    <row r="52" ht="13.5"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c r="AK52" s="77"/>
      <c r="AL52" s="77"/>
      <c r="AM52" s="77"/>
      <c r="AN52" s="77"/>
      <c r="AO52" s="77"/>
    </row>
    <row r="53" ht="13.5"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row>
    <row r="54" ht="13.5"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row>
    <row r="55" ht="13.5"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c r="AK55" s="77"/>
      <c r="AL55" s="77"/>
      <c r="AM55" s="77"/>
      <c r="AN55" s="77"/>
      <c r="AO55" s="77"/>
    </row>
    <row r="56" ht="13.5"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row>
    <row r="57" ht="13.5"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c r="AK57" s="77"/>
      <c r="AL57" s="77"/>
      <c r="AM57" s="77"/>
      <c r="AN57" s="77"/>
      <c r="AO57" s="77"/>
    </row>
    <row r="58" ht="13.5"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c r="AK58" s="77"/>
      <c r="AL58" s="77"/>
      <c r="AM58" s="77"/>
      <c r="AN58" s="77"/>
      <c r="AO58" s="77"/>
    </row>
    <row r="59" ht="13.5"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row>
    <row r="60" ht="13.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row>
    <row r="61" ht="13.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c r="AK61" s="77"/>
      <c r="AL61" s="77"/>
      <c r="AM61" s="77"/>
      <c r="AN61" s="77"/>
      <c r="AO61" s="77"/>
    </row>
    <row r="62" ht="13.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c r="AO62" s="77"/>
    </row>
    <row r="63" ht="13.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row>
    <row r="64" ht="13.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row>
    <row r="65" ht="13.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row>
    <row r="66" ht="13.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row>
    <row r="67" ht="13.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c r="AK67" s="77"/>
      <c r="AL67" s="77"/>
      <c r="AM67" s="77"/>
      <c r="AN67" s="77"/>
      <c r="AO67" s="77"/>
    </row>
    <row r="68" ht="13.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c r="AA68" s="77"/>
      <c r="AB68" s="77"/>
      <c r="AC68" s="77"/>
      <c r="AD68" s="77"/>
      <c r="AE68" s="77"/>
      <c r="AF68" s="77"/>
      <c r="AG68" s="77"/>
      <c r="AH68" s="77"/>
      <c r="AI68" s="77"/>
      <c r="AJ68" s="77"/>
      <c r="AK68" s="77"/>
      <c r="AL68" s="77"/>
      <c r="AM68" s="77"/>
      <c r="AN68" s="77"/>
      <c r="AO68" s="77"/>
    </row>
    <row r="69" ht="13.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c r="AA69" s="77"/>
      <c r="AB69" s="77"/>
      <c r="AC69" s="77"/>
      <c r="AD69" s="77"/>
      <c r="AE69" s="77"/>
      <c r="AF69" s="77"/>
      <c r="AG69" s="77"/>
      <c r="AH69" s="77"/>
      <c r="AI69" s="77"/>
      <c r="AJ69" s="77"/>
      <c r="AK69" s="77"/>
      <c r="AL69" s="77"/>
      <c r="AM69" s="77"/>
      <c r="AN69" s="77"/>
      <c r="AO69" s="77"/>
    </row>
    <row r="70" ht="13.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c r="AA70" s="77"/>
      <c r="AB70" s="77"/>
      <c r="AC70" s="77"/>
      <c r="AD70" s="77"/>
      <c r="AE70" s="77"/>
      <c r="AF70" s="77"/>
      <c r="AG70" s="77"/>
      <c r="AH70" s="77"/>
      <c r="AI70" s="77"/>
      <c r="AJ70" s="77"/>
      <c r="AK70" s="77"/>
      <c r="AL70" s="77"/>
      <c r="AM70" s="77"/>
      <c r="AN70" s="77"/>
      <c r="AO70" s="77"/>
    </row>
    <row r="71" ht="13.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c r="AA71" s="77"/>
      <c r="AB71" s="77"/>
      <c r="AC71" s="77"/>
      <c r="AD71" s="77"/>
      <c r="AE71" s="77"/>
      <c r="AF71" s="77"/>
      <c r="AG71" s="77"/>
      <c r="AH71" s="77"/>
      <c r="AI71" s="77"/>
      <c r="AJ71" s="77"/>
      <c r="AK71" s="77"/>
      <c r="AL71" s="77"/>
      <c r="AM71" s="77"/>
      <c r="AN71" s="77"/>
      <c r="AO71" s="77"/>
    </row>
    <row r="72" ht="13.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c r="AA72" s="77"/>
      <c r="AB72" s="77"/>
      <c r="AC72" s="77"/>
      <c r="AD72" s="77"/>
      <c r="AE72" s="77"/>
      <c r="AF72" s="77"/>
      <c r="AG72" s="77"/>
      <c r="AH72" s="77"/>
      <c r="AI72" s="77"/>
      <c r="AJ72" s="77"/>
      <c r="AK72" s="77"/>
      <c r="AL72" s="77"/>
      <c r="AM72" s="77"/>
      <c r="AN72" s="77"/>
      <c r="AO72" s="77"/>
    </row>
    <row r="73" ht="13.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c r="AA73" s="77"/>
      <c r="AB73" s="77"/>
      <c r="AC73" s="77"/>
      <c r="AD73" s="77"/>
      <c r="AE73" s="77"/>
      <c r="AF73" s="77"/>
      <c r="AG73" s="77"/>
      <c r="AH73" s="77"/>
      <c r="AI73" s="77"/>
      <c r="AJ73" s="77"/>
      <c r="AK73" s="77"/>
      <c r="AL73" s="77"/>
      <c r="AM73" s="77"/>
      <c r="AN73" s="77"/>
      <c r="AO73" s="77"/>
    </row>
    <row r="74" ht="13.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c r="AA74" s="77"/>
      <c r="AB74" s="77"/>
      <c r="AC74" s="77"/>
      <c r="AD74" s="77"/>
      <c r="AE74" s="77"/>
      <c r="AF74" s="77"/>
      <c r="AG74" s="77"/>
      <c r="AH74" s="77"/>
      <c r="AI74" s="77"/>
      <c r="AJ74" s="77"/>
      <c r="AK74" s="77"/>
      <c r="AL74" s="77"/>
      <c r="AM74" s="77"/>
      <c r="AN74" s="77"/>
      <c r="AO74" s="77"/>
    </row>
    <row r="75" ht="13.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77"/>
      <c r="AG75" s="77"/>
      <c r="AH75" s="77"/>
      <c r="AI75" s="77"/>
      <c r="AJ75" s="77"/>
      <c r="AK75" s="77"/>
      <c r="AL75" s="77"/>
      <c r="AM75" s="77"/>
      <c r="AN75" s="77"/>
      <c r="AO75" s="77"/>
    </row>
    <row r="76" ht="13.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c r="AA76" s="77"/>
      <c r="AB76" s="77"/>
      <c r="AC76" s="77"/>
      <c r="AD76" s="77"/>
      <c r="AE76" s="77"/>
      <c r="AF76" s="77"/>
      <c r="AG76" s="77"/>
      <c r="AH76" s="77"/>
      <c r="AI76" s="77"/>
      <c r="AJ76" s="77"/>
      <c r="AK76" s="77"/>
      <c r="AL76" s="77"/>
      <c r="AM76" s="77"/>
      <c r="AN76" s="77"/>
      <c r="AO76" s="77"/>
    </row>
    <row r="77" ht="13.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c r="AA77" s="77"/>
      <c r="AB77" s="77"/>
      <c r="AC77" s="77"/>
      <c r="AD77" s="77"/>
      <c r="AE77" s="77"/>
      <c r="AF77" s="77"/>
      <c r="AG77" s="77"/>
      <c r="AH77" s="77"/>
      <c r="AI77" s="77"/>
      <c r="AJ77" s="77"/>
      <c r="AK77" s="77"/>
      <c r="AL77" s="77"/>
      <c r="AM77" s="77"/>
      <c r="AN77" s="77"/>
      <c r="AO77" s="77"/>
    </row>
    <row r="78" ht="13.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c r="AA78" s="77"/>
      <c r="AB78" s="77"/>
      <c r="AC78" s="77"/>
      <c r="AD78" s="77"/>
      <c r="AE78" s="77"/>
      <c r="AF78" s="77"/>
      <c r="AG78" s="77"/>
      <c r="AH78" s="77"/>
      <c r="AI78" s="77"/>
      <c r="AJ78" s="77"/>
      <c r="AK78" s="77"/>
      <c r="AL78" s="77"/>
      <c r="AM78" s="77"/>
      <c r="AN78" s="77"/>
      <c r="AO78" s="77"/>
    </row>
    <row r="79" ht="13.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c r="AK79" s="77"/>
      <c r="AL79" s="77"/>
      <c r="AM79" s="77"/>
      <c r="AN79" s="77"/>
      <c r="AO79" s="77"/>
    </row>
    <row r="80" ht="13.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c r="AK80" s="77"/>
      <c r="AL80" s="77"/>
      <c r="AM80" s="77"/>
      <c r="AN80" s="77"/>
      <c r="AO80" s="77"/>
    </row>
    <row r="81" ht="13.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c r="AK81" s="77"/>
      <c r="AL81" s="77"/>
      <c r="AM81" s="77"/>
      <c r="AN81" s="77"/>
      <c r="AO81" s="77"/>
    </row>
    <row r="82" ht="13.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c r="AK82" s="77"/>
      <c r="AL82" s="77"/>
      <c r="AM82" s="77"/>
      <c r="AN82" s="77"/>
      <c r="AO82" s="77"/>
    </row>
    <row r="83" ht="13.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c r="AK83" s="77"/>
      <c r="AL83" s="77"/>
      <c r="AM83" s="77"/>
      <c r="AN83" s="77"/>
      <c r="AO83" s="77"/>
    </row>
    <row r="84" ht="13.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c r="AK84" s="77"/>
      <c r="AL84" s="77"/>
      <c r="AM84" s="77"/>
      <c r="AN84" s="77"/>
      <c r="AO84" s="77"/>
    </row>
    <row r="85" ht="13.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c r="AA85" s="77"/>
      <c r="AB85" s="77"/>
      <c r="AC85" s="77"/>
      <c r="AD85" s="77"/>
      <c r="AE85" s="77"/>
      <c r="AF85" s="77"/>
      <c r="AG85" s="77"/>
      <c r="AH85" s="77"/>
      <c r="AI85" s="77"/>
      <c r="AJ85" s="77"/>
      <c r="AK85" s="77"/>
      <c r="AL85" s="77"/>
      <c r="AM85" s="77"/>
      <c r="AN85" s="77"/>
      <c r="AO85" s="77"/>
    </row>
    <row r="86" ht="13.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c r="AK86" s="77"/>
      <c r="AL86" s="77"/>
      <c r="AM86" s="77"/>
      <c r="AN86" s="77"/>
      <c r="AO86" s="77"/>
    </row>
    <row r="87" ht="13.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c r="AK87" s="77"/>
      <c r="AL87" s="77"/>
      <c r="AM87" s="77"/>
      <c r="AN87" s="77"/>
      <c r="AO87" s="77"/>
    </row>
    <row r="88" ht="13.5"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c r="AK88" s="77"/>
      <c r="AL88" s="77"/>
      <c r="AM88" s="77"/>
      <c r="AN88" s="77"/>
      <c r="AO88" s="77"/>
    </row>
    <row r="89" ht="13.5"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c r="AK89" s="77"/>
      <c r="AL89" s="77"/>
      <c r="AM89" s="77"/>
      <c r="AN89" s="77"/>
      <c r="AO89" s="77"/>
    </row>
    <row r="90" ht="13.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c r="AK90" s="77"/>
      <c r="AL90" s="77"/>
      <c r="AM90" s="77"/>
      <c r="AN90" s="77"/>
      <c r="AO90" s="77"/>
    </row>
    <row r="91" ht="13.5"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c r="AK91" s="77"/>
      <c r="AL91" s="77"/>
      <c r="AM91" s="77"/>
      <c r="AN91" s="77"/>
      <c r="AO91" s="77"/>
    </row>
    <row r="92" ht="13.5"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c r="AK92" s="77"/>
      <c r="AL92" s="77"/>
      <c r="AM92" s="77"/>
      <c r="AN92" s="77"/>
      <c r="AO92" s="77"/>
    </row>
    <row r="93" ht="13.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c r="AK93" s="77"/>
      <c r="AL93" s="77"/>
      <c r="AM93" s="77"/>
      <c r="AN93" s="77"/>
      <c r="AO93" s="77"/>
    </row>
    <row r="94" ht="13.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c r="AA94" s="77"/>
      <c r="AB94" s="77"/>
      <c r="AC94" s="77"/>
      <c r="AD94" s="77"/>
      <c r="AE94" s="77"/>
      <c r="AF94" s="77"/>
      <c r="AG94" s="77"/>
      <c r="AH94" s="77"/>
      <c r="AI94" s="77"/>
      <c r="AJ94" s="77"/>
      <c r="AK94" s="77"/>
      <c r="AL94" s="77"/>
      <c r="AM94" s="77"/>
      <c r="AN94" s="77"/>
      <c r="AO94" s="77"/>
    </row>
    <row r="95" ht="13.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c r="AA95" s="77"/>
      <c r="AB95" s="77"/>
      <c r="AC95" s="77"/>
      <c r="AD95" s="77"/>
      <c r="AE95" s="77"/>
      <c r="AF95" s="77"/>
      <c r="AG95" s="77"/>
      <c r="AH95" s="77"/>
      <c r="AI95" s="77"/>
      <c r="AJ95" s="77"/>
      <c r="AK95" s="77"/>
      <c r="AL95" s="77"/>
      <c r="AM95" s="77"/>
      <c r="AN95" s="77"/>
      <c r="AO95" s="77"/>
    </row>
    <row r="96" ht="13.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c r="AA96" s="77"/>
      <c r="AB96" s="77"/>
      <c r="AC96" s="77"/>
      <c r="AD96" s="77"/>
      <c r="AE96" s="77"/>
      <c r="AF96" s="77"/>
      <c r="AG96" s="77"/>
      <c r="AH96" s="77"/>
      <c r="AI96" s="77"/>
      <c r="AJ96" s="77"/>
      <c r="AK96" s="77"/>
      <c r="AL96" s="77"/>
      <c r="AM96" s="77"/>
      <c r="AN96" s="77"/>
      <c r="AO96" s="77"/>
    </row>
    <row r="97" ht="13.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c r="AK97" s="77"/>
      <c r="AL97" s="77"/>
      <c r="AM97" s="77"/>
      <c r="AN97" s="77"/>
      <c r="AO97" s="77"/>
    </row>
    <row r="98" ht="13.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c r="AK98" s="77"/>
      <c r="AL98" s="77"/>
      <c r="AM98" s="77"/>
      <c r="AN98" s="77"/>
      <c r="AO98" s="77"/>
    </row>
    <row r="99" ht="13.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c r="AK99" s="77"/>
      <c r="AL99" s="77"/>
      <c r="AM99" s="77"/>
      <c r="AN99" s="77"/>
      <c r="AO99" s="77"/>
    </row>
    <row r="100" ht="13.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row>
    <row r="101" ht="13.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row>
    <row r="102" ht="13.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row>
    <row r="103" ht="13.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row>
    <row r="104" ht="13.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row>
    <row r="105" ht="13.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row>
    <row r="106" ht="13.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row>
    <row r="107" ht="13.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row>
    <row r="108" ht="13.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row>
    <row r="109" ht="13.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row>
    <row r="110" ht="13.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row>
    <row r="111" ht="13.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row>
    <row r="112" ht="13.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c r="AI112" s="77"/>
      <c r="AJ112" s="77"/>
      <c r="AK112" s="77"/>
      <c r="AL112" s="77"/>
      <c r="AM112" s="77"/>
      <c r="AN112" s="77"/>
      <c r="AO112" s="77"/>
    </row>
    <row r="113" ht="13.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row>
    <row r="114" ht="13.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row>
    <row r="115" ht="13.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c r="AB115" s="77"/>
      <c r="AC115" s="77"/>
      <c r="AD115" s="77"/>
      <c r="AE115" s="77"/>
      <c r="AF115" s="77"/>
      <c r="AG115" s="77"/>
      <c r="AH115" s="77"/>
      <c r="AI115" s="77"/>
      <c r="AJ115" s="77"/>
      <c r="AK115" s="77"/>
      <c r="AL115" s="77"/>
      <c r="AM115" s="77"/>
      <c r="AN115" s="77"/>
      <c r="AO115" s="77"/>
    </row>
    <row r="116" ht="13.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c r="AA116" s="77"/>
      <c r="AB116" s="77"/>
      <c r="AC116" s="77"/>
      <c r="AD116" s="77"/>
      <c r="AE116" s="77"/>
      <c r="AF116" s="77"/>
      <c r="AG116" s="77"/>
      <c r="AH116" s="77"/>
      <c r="AI116" s="77"/>
      <c r="AJ116" s="77"/>
      <c r="AK116" s="77"/>
      <c r="AL116" s="77"/>
      <c r="AM116" s="77"/>
      <c r="AN116" s="77"/>
      <c r="AO116" s="77"/>
    </row>
    <row r="117" ht="13.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c r="AA117" s="77"/>
      <c r="AB117" s="77"/>
      <c r="AC117" s="77"/>
      <c r="AD117" s="77"/>
      <c r="AE117" s="77"/>
      <c r="AF117" s="77"/>
      <c r="AG117" s="77"/>
      <c r="AH117" s="77"/>
      <c r="AI117" s="77"/>
      <c r="AJ117" s="77"/>
      <c r="AK117" s="77"/>
      <c r="AL117" s="77"/>
      <c r="AM117" s="77"/>
      <c r="AN117" s="77"/>
      <c r="AO117" s="77"/>
    </row>
    <row r="118" ht="13.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c r="AA118" s="77"/>
      <c r="AB118" s="77"/>
      <c r="AC118" s="77"/>
      <c r="AD118" s="77"/>
      <c r="AE118" s="77"/>
      <c r="AF118" s="77"/>
      <c r="AG118" s="77"/>
      <c r="AH118" s="77"/>
      <c r="AI118" s="77"/>
      <c r="AJ118" s="77"/>
      <c r="AK118" s="77"/>
      <c r="AL118" s="77"/>
      <c r="AM118" s="77"/>
      <c r="AN118" s="77"/>
      <c r="AO118" s="77"/>
    </row>
    <row r="119" ht="13.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c r="AA119" s="77"/>
      <c r="AB119" s="77"/>
      <c r="AC119" s="77"/>
      <c r="AD119" s="77"/>
      <c r="AE119" s="77"/>
      <c r="AF119" s="77"/>
      <c r="AG119" s="77"/>
      <c r="AH119" s="77"/>
      <c r="AI119" s="77"/>
      <c r="AJ119" s="77"/>
      <c r="AK119" s="77"/>
      <c r="AL119" s="77"/>
      <c r="AM119" s="77"/>
      <c r="AN119" s="77"/>
      <c r="AO119" s="77"/>
    </row>
    <row r="120" ht="13.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c r="AA120" s="77"/>
      <c r="AB120" s="77"/>
      <c r="AC120" s="77"/>
      <c r="AD120" s="77"/>
      <c r="AE120" s="77"/>
      <c r="AF120" s="77"/>
      <c r="AG120" s="77"/>
      <c r="AH120" s="77"/>
      <c r="AI120" s="77"/>
      <c r="AJ120" s="77"/>
      <c r="AK120" s="77"/>
      <c r="AL120" s="77"/>
      <c r="AM120" s="77"/>
      <c r="AN120" s="77"/>
      <c r="AO120" s="77"/>
    </row>
    <row r="121" ht="13.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c r="AA121" s="77"/>
      <c r="AB121" s="77"/>
      <c r="AC121" s="77"/>
      <c r="AD121" s="77"/>
      <c r="AE121" s="77"/>
      <c r="AF121" s="77"/>
      <c r="AG121" s="77"/>
      <c r="AH121" s="77"/>
      <c r="AI121" s="77"/>
      <c r="AJ121" s="77"/>
      <c r="AK121" s="77"/>
      <c r="AL121" s="77"/>
      <c r="AM121" s="77"/>
      <c r="AN121" s="77"/>
      <c r="AO121" s="77"/>
    </row>
    <row r="122" ht="13.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c r="AA122" s="77"/>
      <c r="AB122" s="77"/>
      <c r="AC122" s="77"/>
      <c r="AD122" s="77"/>
      <c r="AE122" s="77"/>
      <c r="AF122" s="77"/>
      <c r="AG122" s="77"/>
      <c r="AH122" s="77"/>
      <c r="AI122" s="77"/>
      <c r="AJ122" s="77"/>
      <c r="AK122" s="77"/>
      <c r="AL122" s="77"/>
      <c r="AM122" s="77"/>
      <c r="AN122" s="77"/>
      <c r="AO122" s="77"/>
    </row>
    <row r="123" ht="13.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c r="AA123" s="77"/>
      <c r="AB123" s="77"/>
      <c r="AC123" s="77"/>
      <c r="AD123" s="77"/>
      <c r="AE123" s="77"/>
      <c r="AF123" s="77"/>
      <c r="AG123" s="77"/>
      <c r="AH123" s="77"/>
      <c r="AI123" s="77"/>
      <c r="AJ123" s="77"/>
      <c r="AK123" s="77"/>
      <c r="AL123" s="77"/>
      <c r="AM123" s="77"/>
      <c r="AN123" s="77"/>
      <c r="AO123" s="77"/>
    </row>
    <row r="124" ht="13.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c r="AA124" s="77"/>
      <c r="AB124" s="77"/>
      <c r="AC124" s="77"/>
      <c r="AD124" s="77"/>
      <c r="AE124" s="77"/>
      <c r="AF124" s="77"/>
      <c r="AG124" s="77"/>
      <c r="AH124" s="77"/>
      <c r="AI124" s="77"/>
      <c r="AJ124" s="77"/>
      <c r="AK124" s="77"/>
      <c r="AL124" s="77"/>
      <c r="AM124" s="77"/>
      <c r="AN124" s="77"/>
      <c r="AO124" s="77"/>
    </row>
    <row r="125" ht="13.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c r="AA125" s="77"/>
      <c r="AB125" s="77"/>
      <c r="AC125" s="77"/>
      <c r="AD125" s="77"/>
      <c r="AE125" s="77"/>
      <c r="AF125" s="77"/>
      <c r="AG125" s="77"/>
      <c r="AH125" s="77"/>
      <c r="AI125" s="77"/>
      <c r="AJ125" s="77"/>
      <c r="AK125" s="77"/>
      <c r="AL125" s="77"/>
      <c r="AM125" s="77"/>
      <c r="AN125" s="77"/>
      <c r="AO125" s="77"/>
    </row>
    <row r="126" ht="13.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c r="AA126" s="77"/>
      <c r="AB126" s="77"/>
      <c r="AC126" s="77"/>
      <c r="AD126" s="77"/>
      <c r="AE126" s="77"/>
      <c r="AF126" s="77"/>
      <c r="AG126" s="77"/>
      <c r="AH126" s="77"/>
      <c r="AI126" s="77"/>
      <c r="AJ126" s="77"/>
      <c r="AK126" s="77"/>
      <c r="AL126" s="77"/>
      <c r="AM126" s="77"/>
      <c r="AN126" s="77"/>
      <c r="AO126" s="77"/>
    </row>
    <row r="127" ht="13.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c r="AA127" s="77"/>
      <c r="AB127" s="77"/>
      <c r="AC127" s="77"/>
      <c r="AD127" s="77"/>
      <c r="AE127" s="77"/>
      <c r="AF127" s="77"/>
      <c r="AG127" s="77"/>
      <c r="AH127" s="77"/>
      <c r="AI127" s="77"/>
      <c r="AJ127" s="77"/>
      <c r="AK127" s="77"/>
      <c r="AL127" s="77"/>
      <c r="AM127" s="77"/>
      <c r="AN127" s="77"/>
      <c r="AO127" s="77"/>
    </row>
    <row r="128" ht="13.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c r="AA128" s="77"/>
      <c r="AB128" s="77"/>
      <c r="AC128" s="77"/>
      <c r="AD128" s="77"/>
      <c r="AE128" s="77"/>
      <c r="AF128" s="77"/>
      <c r="AG128" s="77"/>
      <c r="AH128" s="77"/>
      <c r="AI128" s="77"/>
      <c r="AJ128" s="77"/>
      <c r="AK128" s="77"/>
      <c r="AL128" s="77"/>
      <c r="AM128" s="77"/>
      <c r="AN128" s="77"/>
      <c r="AO128" s="77"/>
    </row>
    <row r="129" ht="13.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c r="AA129" s="77"/>
      <c r="AB129" s="77"/>
      <c r="AC129" s="77"/>
      <c r="AD129" s="77"/>
      <c r="AE129" s="77"/>
      <c r="AF129" s="77"/>
      <c r="AG129" s="77"/>
      <c r="AH129" s="77"/>
      <c r="AI129" s="77"/>
      <c r="AJ129" s="77"/>
      <c r="AK129" s="77"/>
      <c r="AL129" s="77"/>
      <c r="AM129" s="77"/>
      <c r="AN129" s="77"/>
      <c r="AO129" s="77"/>
    </row>
    <row r="130" ht="13.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c r="AA130" s="77"/>
      <c r="AB130" s="77"/>
      <c r="AC130" s="77"/>
      <c r="AD130" s="77"/>
      <c r="AE130" s="77"/>
      <c r="AF130" s="77"/>
      <c r="AG130" s="77"/>
      <c r="AH130" s="77"/>
      <c r="AI130" s="77"/>
      <c r="AJ130" s="77"/>
      <c r="AK130" s="77"/>
      <c r="AL130" s="77"/>
      <c r="AM130" s="77"/>
      <c r="AN130" s="77"/>
      <c r="AO130" s="77"/>
    </row>
    <row r="131" ht="13.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c r="AA131" s="77"/>
      <c r="AB131" s="77"/>
      <c r="AC131" s="77"/>
      <c r="AD131" s="77"/>
      <c r="AE131" s="77"/>
      <c r="AF131" s="77"/>
      <c r="AG131" s="77"/>
      <c r="AH131" s="77"/>
      <c r="AI131" s="77"/>
      <c r="AJ131" s="77"/>
      <c r="AK131" s="77"/>
      <c r="AL131" s="77"/>
      <c r="AM131" s="77"/>
      <c r="AN131" s="77"/>
      <c r="AO131" s="77"/>
    </row>
    <row r="132" ht="13.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c r="AA132" s="77"/>
      <c r="AB132" s="77"/>
      <c r="AC132" s="77"/>
      <c r="AD132" s="77"/>
      <c r="AE132" s="77"/>
      <c r="AF132" s="77"/>
      <c r="AG132" s="77"/>
      <c r="AH132" s="77"/>
      <c r="AI132" s="77"/>
      <c r="AJ132" s="77"/>
      <c r="AK132" s="77"/>
      <c r="AL132" s="77"/>
      <c r="AM132" s="77"/>
      <c r="AN132" s="77"/>
      <c r="AO132" s="77"/>
    </row>
    <row r="133" ht="13.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c r="AA133" s="77"/>
      <c r="AB133" s="77"/>
      <c r="AC133" s="77"/>
      <c r="AD133" s="77"/>
      <c r="AE133" s="77"/>
      <c r="AF133" s="77"/>
      <c r="AG133" s="77"/>
      <c r="AH133" s="77"/>
      <c r="AI133" s="77"/>
      <c r="AJ133" s="77"/>
      <c r="AK133" s="77"/>
      <c r="AL133" s="77"/>
      <c r="AM133" s="77"/>
      <c r="AN133" s="77"/>
      <c r="AO133" s="77"/>
    </row>
    <row r="134" ht="13.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c r="AA134" s="77"/>
      <c r="AB134" s="77"/>
      <c r="AC134" s="77"/>
      <c r="AD134" s="77"/>
      <c r="AE134" s="77"/>
      <c r="AF134" s="77"/>
      <c r="AG134" s="77"/>
      <c r="AH134" s="77"/>
      <c r="AI134" s="77"/>
      <c r="AJ134" s="77"/>
      <c r="AK134" s="77"/>
      <c r="AL134" s="77"/>
      <c r="AM134" s="77"/>
      <c r="AN134" s="77"/>
      <c r="AO134" s="77"/>
    </row>
    <row r="135" ht="13.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c r="AA135" s="77"/>
      <c r="AB135" s="77"/>
      <c r="AC135" s="77"/>
      <c r="AD135" s="77"/>
      <c r="AE135" s="77"/>
      <c r="AF135" s="77"/>
      <c r="AG135" s="77"/>
      <c r="AH135" s="77"/>
      <c r="AI135" s="77"/>
      <c r="AJ135" s="77"/>
      <c r="AK135" s="77"/>
      <c r="AL135" s="77"/>
      <c r="AM135" s="77"/>
      <c r="AN135" s="77"/>
      <c r="AO135" s="77"/>
    </row>
    <row r="136" ht="13.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c r="AA136" s="77"/>
      <c r="AB136" s="77"/>
      <c r="AC136" s="77"/>
      <c r="AD136" s="77"/>
      <c r="AE136" s="77"/>
      <c r="AF136" s="77"/>
      <c r="AG136" s="77"/>
      <c r="AH136" s="77"/>
      <c r="AI136" s="77"/>
      <c r="AJ136" s="77"/>
      <c r="AK136" s="77"/>
      <c r="AL136" s="77"/>
      <c r="AM136" s="77"/>
      <c r="AN136" s="77"/>
      <c r="AO136" s="77"/>
    </row>
    <row r="137" ht="13.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c r="AA137" s="77"/>
      <c r="AB137" s="77"/>
      <c r="AC137" s="77"/>
      <c r="AD137" s="77"/>
      <c r="AE137" s="77"/>
      <c r="AF137" s="77"/>
      <c r="AG137" s="77"/>
      <c r="AH137" s="77"/>
      <c r="AI137" s="77"/>
      <c r="AJ137" s="77"/>
      <c r="AK137" s="77"/>
      <c r="AL137" s="77"/>
      <c r="AM137" s="77"/>
      <c r="AN137" s="77"/>
      <c r="AO137" s="77"/>
    </row>
    <row r="138" ht="13.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c r="AA138" s="77"/>
      <c r="AB138" s="77"/>
      <c r="AC138" s="77"/>
      <c r="AD138" s="77"/>
      <c r="AE138" s="77"/>
      <c r="AF138" s="77"/>
      <c r="AG138" s="77"/>
      <c r="AH138" s="77"/>
      <c r="AI138" s="77"/>
      <c r="AJ138" s="77"/>
      <c r="AK138" s="77"/>
      <c r="AL138" s="77"/>
      <c r="AM138" s="77"/>
      <c r="AN138" s="77"/>
      <c r="AO138" s="77"/>
    </row>
    <row r="139" ht="13.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c r="AA139" s="77"/>
      <c r="AB139" s="77"/>
      <c r="AC139" s="77"/>
      <c r="AD139" s="77"/>
      <c r="AE139" s="77"/>
      <c r="AF139" s="77"/>
      <c r="AG139" s="77"/>
      <c r="AH139" s="77"/>
      <c r="AI139" s="77"/>
      <c r="AJ139" s="77"/>
      <c r="AK139" s="77"/>
      <c r="AL139" s="77"/>
      <c r="AM139" s="77"/>
      <c r="AN139" s="77"/>
      <c r="AO139" s="77"/>
    </row>
    <row r="140" ht="13.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c r="AA140" s="77"/>
      <c r="AB140" s="77"/>
      <c r="AC140" s="77"/>
      <c r="AD140" s="77"/>
      <c r="AE140" s="77"/>
      <c r="AF140" s="77"/>
      <c r="AG140" s="77"/>
      <c r="AH140" s="77"/>
      <c r="AI140" s="77"/>
      <c r="AJ140" s="77"/>
      <c r="AK140" s="77"/>
      <c r="AL140" s="77"/>
      <c r="AM140" s="77"/>
      <c r="AN140" s="77"/>
      <c r="AO140" s="77"/>
    </row>
    <row r="141" ht="13.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c r="AK141" s="77"/>
      <c r="AL141" s="77"/>
      <c r="AM141" s="77"/>
      <c r="AN141" s="77"/>
      <c r="AO141" s="77"/>
    </row>
    <row r="142" ht="13.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c r="AK142" s="77"/>
      <c r="AL142" s="77"/>
      <c r="AM142" s="77"/>
      <c r="AN142" s="77"/>
      <c r="AO142" s="77"/>
    </row>
    <row r="143" ht="13.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c r="AK143" s="77"/>
      <c r="AL143" s="77"/>
      <c r="AM143" s="77"/>
      <c r="AN143" s="77"/>
      <c r="AO143" s="77"/>
    </row>
    <row r="144" ht="13.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c r="AK144" s="77"/>
      <c r="AL144" s="77"/>
      <c r="AM144" s="77"/>
      <c r="AN144" s="77"/>
      <c r="AO144" s="77"/>
    </row>
    <row r="145" ht="13.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c r="AK145" s="77"/>
      <c r="AL145" s="77"/>
      <c r="AM145" s="77"/>
      <c r="AN145" s="77"/>
      <c r="AO145" s="77"/>
    </row>
    <row r="146" ht="13.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c r="AK146" s="77"/>
      <c r="AL146" s="77"/>
      <c r="AM146" s="77"/>
      <c r="AN146" s="77"/>
      <c r="AO146" s="77"/>
    </row>
    <row r="147" ht="13.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c r="AK147" s="77"/>
      <c r="AL147" s="77"/>
      <c r="AM147" s="77"/>
      <c r="AN147" s="77"/>
      <c r="AO147" s="77"/>
    </row>
    <row r="148" ht="13.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c r="AK148" s="77"/>
      <c r="AL148" s="77"/>
      <c r="AM148" s="77"/>
      <c r="AN148" s="77"/>
      <c r="AO148" s="77"/>
    </row>
    <row r="149" ht="13.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c r="AK149" s="77"/>
      <c r="AL149" s="77"/>
      <c r="AM149" s="77"/>
      <c r="AN149" s="77"/>
      <c r="AO149" s="77"/>
    </row>
    <row r="150" ht="13.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c r="AK150" s="77"/>
      <c r="AL150" s="77"/>
      <c r="AM150" s="77"/>
      <c r="AN150" s="77"/>
      <c r="AO150" s="77"/>
    </row>
    <row r="151" ht="13.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c r="AA151" s="77"/>
      <c r="AB151" s="77"/>
      <c r="AC151" s="77"/>
      <c r="AD151" s="77"/>
      <c r="AE151" s="77"/>
      <c r="AF151" s="77"/>
      <c r="AG151" s="77"/>
      <c r="AH151" s="77"/>
      <c r="AI151" s="77"/>
      <c r="AJ151" s="77"/>
      <c r="AK151" s="77"/>
      <c r="AL151" s="77"/>
      <c r="AM151" s="77"/>
      <c r="AN151" s="77"/>
      <c r="AO151" s="77"/>
    </row>
    <row r="152" ht="13.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c r="AA152" s="77"/>
      <c r="AB152" s="77"/>
      <c r="AC152" s="77"/>
      <c r="AD152" s="77"/>
      <c r="AE152" s="77"/>
      <c r="AF152" s="77"/>
      <c r="AG152" s="77"/>
      <c r="AH152" s="77"/>
      <c r="AI152" s="77"/>
      <c r="AJ152" s="77"/>
      <c r="AK152" s="77"/>
      <c r="AL152" s="77"/>
      <c r="AM152" s="77"/>
      <c r="AN152" s="77"/>
      <c r="AO152" s="77"/>
    </row>
    <row r="153" ht="13.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c r="AA153" s="77"/>
      <c r="AB153" s="77"/>
      <c r="AC153" s="77"/>
      <c r="AD153" s="77"/>
      <c r="AE153" s="77"/>
      <c r="AF153" s="77"/>
      <c r="AG153" s="77"/>
      <c r="AH153" s="77"/>
      <c r="AI153" s="77"/>
      <c r="AJ153" s="77"/>
      <c r="AK153" s="77"/>
      <c r="AL153" s="77"/>
      <c r="AM153" s="77"/>
      <c r="AN153" s="77"/>
      <c r="AO153" s="77"/>
    </row>
    <row r="154" ht="13.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c r="AA154" s="77"/>
      <c r="AB154" s="77"/>
      <c r="AC154" s="77"/>
      <c r="AD154" s="77"/>
      <c r="AE154" s="77"/>
      <c r="AF154" s="77"/>
      <c r="AG154" s="77"/>
      <c r="AH154" s="77"/>
      <c r="AI154" s="77"/>
      <c r="AJ154" s="77"/>
      <c r="AK154" s="77"/>
      <c r="AL154" s="77"/>
      <c r="AM154" s="77"/>
      <c r="AN154" s="77"/>
      <c r="AO154" s="77"/>
    </row>
    <row r="155" ht="13.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c r="AA155" s="77"/>
      <c r="AB155" s="77"/>
      <c r="AC155" s="77"/>
      <c r="AD155" s="77"/>
      <c r="AE155" s="77"/>
      <c r="AF155" s="77"/>
      <c r="AG155" s="77"/>
      <c r="AH155" s="77"/>
      <c r="AI155" s="77"/>
      <c r="AJ155" s="77"/>
      <c r="AK155" s="77"/>
      <c r="AL155" s="77"/>
      <c r="AM155" s="77"/>
      <c r="AN155" s="77"/>
      <c r="AO155" s="77"/>
    </row>
    <row r="156" ht="13.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c r="AA156" s="77"/>
      <c r="AB156" s="77"/>
      <c r="AC156" s="77"/>
      <c r="AD156" s="77"/>
      <c r="AE156" s="77"/>
      <c r="AF156" s="77"/>
      <c r="AG156" s="77"/>
      <c r="AH156" s="77"/>
      <c r="AI156" s="77"/>
      <c r="AJ156" s="77"/>
      <c r="AK156" s="77"/>
      <c r="AL156" s="77"/>
      <c r="AM156" s="77"/>
      <c r="AN156" s="77"/>
      <c r="AO156" s="77"/>
    </row>
    <row r="157" ht="13.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c r="AA157" s="77"/>
      <c r="AB157" s="77"/>
      <c r="AC157" s="77"/>
      <c r="AD157" s="77"/>
      <c r="AE157" s="77"/>
      <c r="AF157" s="77"/>
      <c r="AG157" s="77"/>
      <c r="AH157" s="77"/>
      <c r="AI157" s="77"/>
      <c r="AJ157" s="77"/>
      <c r="AK157" s="77"/>
      <c r="AL157" s="77"/>
      <c r="AM157" s="77"/>
      <c r="AN157" s="77"/>
      <c r="AO157" s="77"/>
    </row>
    <row r="158" ht="13.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c r="AA158" s="77"/>
      <c r="AB158" s="77"/>
      <c r="AC158" s="77"/>
      <c r="AD158" s="77"/>
      <c r="AE158" s="77"/>
      <c r="AF158" s="77"/>
      <c r="AG158" s="77"/>
      <c r="AH158" s="77"/>
      <c r="AI158" s="77"/>
      <c r="AJ158" s="77"/>
      <c r="AK158" s="77"/>
      <c r="AL158" s="77"/>
      <c r="AM158" s="77"/>
      <c r="AN158" s="77"/>
      <c r="AO158" s="77"/>
    </row>
    <row r="159" ht="13.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c r="AA159" s="77"/>
      <c r="AB159" s="77"/>
      <c r="AC159" s="77"/>
      <c r="AD159" s="77"/>
      <c r="AE159" s="77"/>
      <c r="AF159" s="77"/>
      <c r="AG159" s="77"/>
      <c r="AH159" s="77"/>
      <c r="AI159" s="77"/>
      <c r="AJ159" s="77"/>
      <c r="AK159" s="77"/>
      <c r="AL159" s="77"/>
      <c r="AM159" s="77"/>
      <c r="AN159" s="77"/>
      <c r="AO159" s="77"/>
    </row>
    <row r="160" ht="13.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c r="AA160" s="77"/>
      <c r="AB160" s="77"/>
      <c r="AC160" s="77"/>
      <c r="AD160" s="77"/>
      <c r="AE160" s="77"/>
      <c r="AF160" s="77"/>
      <c r="AG160" s="77"/>
      <c r="AH160" s="77"/>
      <c r="AI160" s="77"/>
      <c r="AJ160" s="77"/>
      <c r="AK160" s="77"/>
      <c r="AL160" s="77"/>
      <c r="AM160" s="77"/>
      <c r="AN160" s="77"/>
      <c r="AO160" s="77"/>
    </row>
    <row r="161" ht="13.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c r="AA161" s="77"/>
      <c r="AB161" s="77"/>
      <c r="AC161" s="77"/>
      <c r="AD161" s="77"/>
      <c r="AE161" s="77"/>
      <c r="AF161" s="77"/>
      <c r="AG161" s="77"/>
      <c r="AH161" s="77"/>
      <c r="AI161" s="77"/>
      <c r="AJ161" s="77"/>
      <c r="AK161" s="77"/>
      <c r="AL161" s="77"/>
      <c r="AM161" s="77"/>
      <c r="AN161" s="77"/>
      <c r="AO161" s="77"/>
    </row>
    <row r="162" ht="13.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c r="AA162" s="77"/>
      <c r="AB162" s="77"/>
      <c r="AC162" s="77"/>
      <c r="AD162" s="77"/>
      <c r="AE162" s="77"/>
      <c r="AF162" s="77"/>
      <c r="AG162" s="77"/>
      <c r="AH162" s="77"/>
      <c r="AI162" s="77"/>
      <c r="AJ162" s="77"/>
      <c r="AK162" s="77"/>
      <c r="AL162" s="77"/>
      <c r="AM162" s="77"/>
      <c r="AN162" s="77"/>
      <c r="AO162" s="77"/>
    </row>
    <row r="163" ht="13.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c r="AA163" s="77"/>
      <c r="AB163" s="77"/>
      <c r="AC163" s="77"/>
      <c r="AD163" s="77"/>
      <c r="AE163" s="77"/>
      <c r="AF163" s="77"/>
      <c r="AG163" s="77"/>
      <c r="AH163" s="77"/>
      <c r="AI163" s="77"/>
      <c r="AJ163" s="77"/>
      <c r="AK163" s="77"/>
      <c r="AL163" s="77"/>
      <c r="AM163" s="77"/>
      <c r="AN163" s="77"/>
      <c r="AO163" s="77"/>
    </row>
    <row r="164" ht="13.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c r="AA164" s="77"/>
      <c r="AB164" s="77"/>
      <c r="AC164" s="77"/>
      <c r="AD164" s="77"/>
      <c r="AE164" s="77"/>
      <c r="AF164" s="77"/>
      <c r="AG164" s="77"/>
      <c r="AH164" s="77"/>
      <c r="AI164" s="77"/>
      <c r="AJ164" s="77"/>
      <c r="AK164" s="77"/>
      <c r="AL164" s="77"/>
      <c r="AM164" s="77"/>
      <c r="AN164" s="77"/>
      <c r="AO164" s="77"/>
    </row>
    <row r="165" ht="13.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c r="AA165" s="77"/>
      <c r="AB165" s="77"/>
      <c r="AC165" s="77"/>
      <c r="AD165" s="77"/>
      <c r="AE165" s="77"/>
      <c r="AF165" s="77"/>
      <c r="AG165" s="77"/>
      <c r="AH165" s="77"/>
      <c r="AI165" s="77"/>
      <c r="AJ165" s="77"/>
      <c r="AK165" s="77"/>
      <c r="AL165" s="77"/>
      <c r="AM165" s="77"/>
      <c r="AN165" s="77"/>
      <c r="AO165" s="77"/>
    </row>
    <row r="166" ht="13.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c r="AA166" s="77"/>
      <c r="AB166" s="77"/>
      <c r="AC166" s="77"/>
      <c r="AD166" s="77"/>
      <c r="AE166" s="77"/>
      <c r="AF166" s="77"/>
      <c r="AG166" s="77"/>
      <c r="AH166" s="77"/>
      <c r="AI166" s="77"/>
      <c r="AJ166" s="77"/>
      <c r="AK166" s="77"/>
      <c r="AL166" s="77"/>
      <c r="AM166" s="77"/>
      <c r="AN166" s="77"/>
      <c r="AO166" s="77"/>
    </row>
    <row r="167" ht="13.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c r="AK167" s="77"/>
      <c r="AL167" s="77"/>
      <c r="AM167" s="77"/>
      <c r="AN167" s="77"/>
      <c r="AO167" s="77"/>
    </row>
    <row r="168" ht="13.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c r="AA168" s="77"/>
      <c r="AB168" s="77"/>
      <c r="AC168" s="77"/>
      <c r="AD168" s="77"/>
      <c r="AE168" s="77"/>
      <c r="AF168" s="77"/>
      <c r="AG168" s="77"/>
      <c r="AH168" s="77"/>
      <c r="AI168" s="77"/>
      <c r="AJ168" s="77"/>
      <c r="AK168" s="77"/>
      <c r="AL168" s="77"/>
      <c r="AM168" s="77"/>
      <c r="AN168" s="77"/>
      <c r="AO168" s="77"/>
    </row>
    <row r="169" ht="13.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c r="AA169" s="77"/>
      <c r="AB169" s="77"/>
      <c r="AC169" s="77"/>
      <c r="AD169" s="77"/>
      <c r="AE169" s="77"/>
      <c r="AF169" s="77"/>
      <c r="AG169" s="77"/>
      <c r="AH169" s="77"/>
      <c r="AI169" s="77"/>
      <c r="AJ169" s="77"/>
      <c r="AK169" s="77"/>
      <c r="AL169" s="77"/>
      <c r="AM169" s="77"/>
      <c r="AN169" s="77"/>
      <c r="AO169" s="77"/>
    </row>
    <row r="170" ht="13.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c r="AA170" s="77"/>
      <c r="AB170" s="77"/>
      <c r="AC170" s="77"/>
      <c r="AD170" s="77"/>
      <c r="AE170" s="77"/>
      <c r="AF170" s="77"/>
      <c r="AG170" s="77"/>
      <c r="AH170" s="77"/>
      <c r="AI170" s="77"/>
      <c r="AJ170" s="77"/>
      <c r="AK170" s="77"/>
      <c r="AL170" s="77"/>
      <c r="AM170" s="77"/>
      <c r="AN170" s="77"/>
      <c r="AO170" s="77"/>
    </row>
    <row r="171" ht="13.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c r="AA171" s="77"/>
      <c r="AB171" s="77"/>
      <c r="AC171" s="77"/>
      <c r="AD171" s="77"/>
      <c r="AE171" s="77"/>
      <c r="AF171" s="77"/>
      <c r="AG171" s="77"/>
      <c r="AH171" s="77"/>
      <c r="AI171" s="77"/>
      <c r="AJ171" s="77"/>
      <c r="AK171" s="77"/>
      <c r="AL171" s="77"/>
      <c r="AM171" s="77"/>
      <c r="AN171" s="77"/>
      <c r="AO171" s="77"/>
    </row>
    <row r="172" ht="13.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c r="AA172" s="77"/>
      <c r="AB172" s="77"/>
      <c r="AC172" s="77"/>
      <c r="AD172" s="77"/>
      <c r="AE172" s="77"/>
      <c r="AF172" s="77"/>
      <c r="AG172" s="77"/>
      <c r="AH172" s="77"/>
      <c r="AI172" s="77"/>
      <c r="AJ172" s="77"/>
      <c r="AK172" s="77"/>
      <c r="AL172" s="77"/>
      <c r="AM172" s="77"/>
      <c r="AN172" s="77"/>
      <c r="AO172" s="77"/>
    </row>
    <row r="173" ht="13.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c r="AA173" s="77"/>
      <c r="AB173" s="77"/>
      <c r="AC173" s="77"/>
      <c r="AD173" s="77"/>
      <c r="AE173" s="77"/>
      <c r="AF173" s="77"/>
      <c r="AG173" s="77"/>
      <c r="AH173" s="77"/>
      <c r="AI173" s="77"/>
      <c r="AJ173" s="77"/>
      <c r="AK173" s="77"/>
      <c r="AL173" s="77"/>
      <c r="AM173" s="77"/>
      <c r="AN173" s="77"/>
      <c r="AO173" s="77"/>
    </row>
    <row r="174" ht="13.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c r="AA174" s="77"/>
      <c r="AB174" s="77"/>
      <c r="AC174" s="77"/>
      <c r="AD174" s="77"/>
      <c r="AE174" s="77"/>
      <c r="AF174" s="77"/>
      <c r="AG174" s="77"/>
      <c r="AH174" s="77"/>
      <c r="AI174" s="77"/>
      <c r="AJ174" s="77"/>
      <c r="AK174" s="77"/>
      <c r="AL174" s="77"/>
      <c r="AM174" s="77"/>
      <c r="AN174" s="77"/>
      <c r="AO174" s="77"/>
    </row>
    <row r="175" ht="13.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c r="AA175" s="77"/>
      <c r="AB175" s="77"/>
      <c r="AC175" s="77"/>
      <c r="AD175" s="77"/>
      <c r="AE175" s="77"/>
      <c r="AF175" s="77"/>
      <c r="AG175" s="77"/>
      <c r="AH175" s="77"/>
      <c r="AI175" s="77"/>
      <c r="AJ175" s="77"/>
      <c r="AK175" s="77"/>
      <c r="AL175" s="77"/>
      <c r="AM175" s="77"/>
      <c r="AN175" s="77"/>
      <c r="AO175" s="77"/>
    </row>
    <row r="176" ht="13.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c r="AA176" s="77"/>
      <c r="AB176" s="77"/>
      <c r="AC176" s="77"/>
      <c r="AD176" s="77"/>
      <c r="AE176" s="77"/>
      <c r="AF176" s="77"/>
      <c r="AG176" s="77"/>
      <c r="AH176" s="77"/>
      <c r="AI176" s="77"/>
      <c r="AJ176" s="77"/>
      <c r="AK176" s="77"/>
      <c r="AL176" s="77"/>
      <c r="AM176" s="77"/>
      <c r="AN176" s="77"/>
      <c r="AO176" s="77"/>
    </row>
    <row r="177" ht="13.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c r="AA177" s="77"/>
      <c r="AB177" s="77"/>
      <c r="AC177" s="77"/>
      <c r="AD177" s="77"/>
      <c r="AE177" s="77"/>
      <c r="AF177" s="77"/>
      <c r="AG177" s="77"/>
      <c r="AH177" s="77"/>
      <c r="AI177" s="77"/>
      <c r="AJ177" s="77"/>
      <c r="AK177" s="77"/>
      <c r="AL177" s="77"/>
      <c r="AM177" s="77"/>
      <c r="AN177" s="77"/>
      <c r="AO177" s="77"/>
    </row>
    <row r="178" ht="13.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c r="AA178" s="77"/>
      <c r="AB178" s="77"/>
      <c r="AC178" s="77"/>
      <c r="AD178" s="77"/>
      <c r="AE178" s="77"/>
      <c r="AF178" s="77"/>
      <c r="AG178" s="77"/>
      <c r="AH178" s="77"/>
      <c r="AI178" s="77"/>
      <c r="AJ178" s="77"/>
      <c r="AK178" s="77"/>
      <c r="AL178" s="77"/>
      <c r="AM178" s="77"/>
      <c r="AN178" s="77"/>
      <c r="AO178" s="77"/>
    </row>
    <row r="179" ht="13.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c r="AA179" s="77"/>
      <c r="AB179" s="77"/>
      <c r="AC179" s="77"/>
      <c r="AD179" s="77"/>
      <c r="AE179" s="77"/>
      <c r="AF179" s="77"/>
      <c r="AG179" s="77"/>
      <c r="AH179" s="77"/>
      <c r="AI179" s="77"/>
      <c r="AJ179" s="77"/>
      <c r="AK179" s="77"/>
      <c r="AL179" s="77"/>
      <c r="AM179" s="77"/>
      <c r="AN179" s="77"/>
      <c r="AO179" s="77"/>
    </row>
    <row r="180" ht="13.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c r="AA180" s="77"/>
      <c r="AB180" s="77"/>
      <c r="AC180" s="77"/>
      <c r="AD180" s="77"/>
      <c r="AE180" s="77"/>
      <c r="AF180" s="77"/>
      <c r="AG180" s="77"/>
      <c r="AH180" s="77"/>
      <c r="AI180" s="77"/>
      <c r="AJ180" s="77"/>
      <c r="AK180" s="77"/>
      <c r="AL180" s="77"/>
      <c r="AM180" s="77"/>
      <c r="AN180" s="77"/>
      <c r="AO180" s="77"/>
    </row>
    <row r="181" ht="13.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c r="AA181" s="77"/>
      <c r="AB181" s="77"/>
      <c r="AC181" s="77"/>
      <c r="AD181" s="77"/>
      <c r="AE181" s="77"/>
      <c r="AF181" s="77"/>
      <c r="AG181" s="77"/>
      <c r="AH181" s="77"/>
      <c r="AI181" s="77"/>
      <c r="AJ181" s="77"/>
      <c r="AK181" s="77"/>
      <c r="AL181" s="77"/>
      <c r="AM181" s="77"/>
      <c r="AN181" s="77"/>
      <c r="AO181" s="77"/>
    </row>
    <row r="182" ht="13.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c r="AA182" s="77"/>
      <c r="AB182" s="77"/>
      <c r="AC182" s="77"/>
      <c r="AD182" s="77"/>
      <c r="AE182" s="77"/>
      <c r="AF182" s="77"/>
      <c r="AG182" s="77"/>
      <c r="AH182" s="77"/>
      <c r="AI182" s="77"/>
      <c r="AJ182" s="77"/>
      <c r="AK182" s="77"/>
      <c r="AL182" s="77"/>
      <c r="AM182" s="77"/>
      <c r="AN182" s="77"/>
      <c r="AO182" s="77"/>
    </row>
    <row r="183" ht="13.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c r="AA183" s="77"/>
      <c r="AB183" s="77"/>
      <c r="AC183" s="77"/>
      <c r="AD183" s="77"/>
      <c r="AE183" s="77"/>
      <c r="AF183" s="77"/>
      <c r="AG183" s="77"/>
      <c r="AH183" s="77"/>
      <c r="AI183" s="77"/>
      <c r="AJ183" s="77"/>
      <c r="AK183" s="77"/>
      <c r="AL183" s="77"/>
      <c r="AM183" s="77"/>
      <c r="AN183" s="77"/>
      <c r="AO183" s="77"/>
    </row>
    <row r="184" ht="13.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c r="AA184" s="77"/>
      <c r="AB184" s="77"/>
      <c r="AC184" s="77"/>
      <c r="AD184" s="77"/>
      <c r="AE184" s="77"/>
      <c r="AF184" s="77"/>
      <c r="AG184" s="77"/>
      <c r="AH184" s="77"/>
      <c r="AI184" s="77"/>
      <c r="AJ184" s="77"/>
      <c r="AK184" s="77"/>
      <c r="AL184" s="77"/>
      <c r="AM184" s="77"/>
      <c r="AN184" s="77"/>
      <c r="AO184" s="77"/>
    </row>
    <row r="185" ht="13.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c r="AA185" s="77"/>
      <c r="AB185" s="77"/>
      <c r="AC185" s="77"/>
      <c r="AD185" s="77"/>
      <c r="AE185" s="77"/>
      <c r="AF185" s="77"/>
      <c r="AG185" s="77"/>
      <c r="AH185" s="77"/>
      <c r="AI185" s="77"/>
      <c r="AJ185" s="77"/>
      <c r="AK185" s="77"/>
      <c r="AL185" s="77"/>
      <c r="AM185" s="77"/>
      <c r="AN185" s="77"/>
      <c r="AO185" s="77"/>
    </row>
    <row r="186" ht="13.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c r="AA186" s="77"/>
      <c r="AB186" s="77"/>
      <c r="AC186" s="77"/>
      <c r="AD186" s="77"/>
      <c r="AE186" s="77"/>
      <c r="AF186" s="77"/>
      <c r="AG186" s="77"/>
      <c r="AH186" s="77"/>
      <c r="AI186" s="77"/>
      <c r="AJ186" s="77"/>
      <c r="AK186" s="77"/>
      <c r="AL186" s="77"/>
      <c r="AM186" s="77"/>
      <c r="AN186" s="77"/>
      <c r="AO186" s="77"/>
    </row>
    <row r="187" ht="13.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c r="AA187" s="77"/>
      <c r="AB187" s="77"/>
      <c r="AC187" s="77"/>
      <c r="AD187" s="77"/>
      <c r="AE187" s="77"/>
      <c r="AF187" s="77"/>
      <c r="AG187" s="77"/>
      <c r="AH187" s="77"/>
      <c r="AI187" s="77"/>
      <c r="AJ187" s="77"/>
      <c r="AK187" s="77"/>
      <c r="AL187" s="77"/>
      <c r="AM187" s="77"/>
      <c r="AN187" s="77"/>
      <c r="AO187" s="77"/>
    </row>
    <row r="188" ht="13.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c r="AA188" s="77"/>
      <c r="AB188" s="77"/>
      <c r="AC188" s="77"/>
      <c r="AD188" s="77"/>
      <c r="AE188" s="77"/>
      <c r="AF188" s="77"/>
      <c r="AG188" s="77"/>
      <c r="AH188" s="77"/>
      <c r="AI188" s="77"/>
      <c r="AJ188" s="77"/>
      <c r="AK188" s="77"/>
      <c r="AL188" s="77"/>
      <c r="AM188" s="77"/>
      <c r="AN188" s="77"/>
      <c r="AO188" s="77"/>
    </row>
    <row r="189" ht="13.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c r="AA189" s="77"/>
      <c r="AB189" s="77"/>
      <c r="AC189" s="77"/>
      <c r="AD189" s="77"/>
      <c r="AE189" s="77"/>
      <c r="AF189" s="77"/>
      <c r="AG189" s="77"/>
      <c r="AH189" s="77"/>
      <c r="AI189" s="77"/>
      <c r="AJ189" s="77"/>
      <c r="AK189" s="77"/>
      <c r="AL189" s="77"/>
      <c r="AM189" s="77"/>
      <c r="AN189" s="77"/>
      <c r="AO189" s="77"/>
    </row>
    <row r="190" ht="13.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c r="AA190" s="77"/>
      <c r="AB190" s="77"/>
      <c r="AC190" s="77"/>
      <c r="AD190" s="77"/>
      <c r="AE190" s="77"/>
      <c r="AF190" s="77"/>
      <c r="AG190" s="77"/>
      <c r="AH190" s="77"/>
      <c r="AI190" s="77"/>
      <c r="AJ190" s="77"/>
      <c r="AK190" s="77"/>
      <c r="AL190" s="77"/>
      <c r="AM190" s="77"/>
      <c r="AN190" s="77"/>
      <c r="AO190" s="77"/>
    </row>
    <row r="191" ht="13.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c r="AA191" s="77"/>
      <c r="AB191" s="77"/>
      <c r="AC191" s="77"/>
      <c r="AD191" s="77"/>
      <c r="AE191" s="77"/>
      <c r="AF191" s="77"/>
      <c r="AG191" s="77"/>
      <c r="AH191" s="77"/>
      <c r="AI191" s="77"/>
      <c r="AJ191" s="77"/>
      <c r="AK191" s="77"/>
      <c r="AL191" s="77"/>
      <c r="AM191" s="77"/>
      <c r="AN191" s="77"/>
      <c r="AO191" s="77"/>
    </row>
    <row r="192" ht="13.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c r="AA192" s="77"/>
      <c r="AB192" s="77"/>
      <c r="AC192" s="77"/>
      <c r="AD192" s="77"/>
      <c r="AE192" s="77"/>
      <c r="AF192" s="77"/>
      <c r="AG192" s="77"/>
      <c r="AH192" s="77"/>
      <c r="AI192" s="77"/>
      <c r="AJ192" s="77"/>
      <c r="AK192" s="77"/>
      <c r="AL192" s="77"/>
      <c r="AM192" s="77"/>
      <c r="AN192" s="77"/>
      <c r="AO192" s="77"/>
    </row>
    <row r="193" ht="13.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c r="AA193" s="77"/>
      <c r="AB193" s="77"/>
      <c r="AC193" s="77"/>
      <c r="AD193" s="77"/>
      <c r="AE193" s="77"/>
      <c r="AF193" s="77"/>
      <c r="AG193" s="77"/>
      <c r="AH193" s="77"/>
      <c r="AI193" s="77"/>
      <c r="AJ193" s="77"/>
      <c r="AK193" s="77"/>
      <c r="AL193" s="77"/>
      <c r="AM193" s="77"/>
      <c r="AN193" s="77"/>
      <c r="AO193" s="77"/>
    </row>
    <row r="194" ht="13.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c r="AA194" s="77"/>
      <c r="AB194" s="77"/>
      <c r="AC194" s="77"/>
      <c r="AD194" s="77"/>
      <c r="AE194" s="77"/>
      <c r="AF194" s="77"/>
      <c r="AG194" s="77"/>
      <c r="AH194" s="77"/>
      <c r="AI194" s="77"/>
      <c r="AJ194" s="77"/>
      <c r="AK194" s="77"/>
      <c r="AL194" s="77"/>
      <c r="AM194" s="77"/>
      <c r="AN194" s="77"/>
      <c r="AO194" s="77"/>
    </row>
    <row r="195" ht="13.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c r="AA195" s="77"/>
      <c r="AB195" s="77"/>
      <c r="AC195" s="77"/>
      <c r="AD195" s="77"/>
      <c r="AE195" s="77"/>
      <c r="AF195" s="77"/>
      <c r="AG195" s="77"/>
      <c r="AH195" s="77"/>
      <c r="AI195" s="77"/>
      <c r="AJ195" s="77"/>
      <c r="AK195" s="77"/>
      <c r="AL195" s="77"/>
      <c r="AM195" s="77"/>
      <c r="AN195" s="77"/>
      <c r="AO195" s="77"/>
    </row>
    <row r="196" ht="13.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c r="AA196" s="77"/>
      <c r="AB196" s="77"/>
      <c r="AC196" s="77"/>
      <c r="AD196" s="77"/>
      <c r="AE196" s="77"/>
      <c r="AF196" s="77"/>
      <c r="AG196" s="77"/>
      <c r="AH196" s="77"/>
      <c r="AI196" s="77"/>
      <c r="AJ196" s="77"/>
      <c r="AK196" s="77"/>
      <c r="AL196" s="77"/>
      <c r="AM196" s="77"/>
      <c r="AN196" s="77"/>
      <c r="AO196" s="77"/>
    </row>
    <row r="197" ht="13.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c r="AA197" s="77"/>
      <c r="AB197" s="77"/>
      <c r="AC197" s="77"/>
      <c r="AD197" s="77"/>
      <c r="AE197" s="77"/>
      <c r="AF197" s="77"/>
      <c r="AG197" s="77"/>
      <c r="AH197" s="77"/>
      <c r="AI197" s="77"/>
      <c r="AJ197" s="77"/>
      <c r="AK197" s="77"/>
      <c r="AL197" s="77"/>
      <c r="AM197" s="77"/>
      <c r="AN197" s="77"/>
      <c r="AO197" s="77"/>
    </row>
    <row r="198" ht="13.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c r="AA198" s="77"/>
      <c r="AB198" s="77"/>
      <c r="AC198" s="77"/>
      <c r="AD198" s="77"/>
      <c r="AE198" s="77"/>
      <c r="AF198" s="77"/>
      <c r="AG198" s="77"/>
      <c r="AH198" s="77"/>
      <c r="AI198" s="77"/>
      <c r="AJ198" s="77"/>
      <c r="AK198" s="77"/>
      <c r="AL198" s="77"/>
      <c r="AM198" s="77"/>
      <c r="AN198" s="77"/>
      <c r="AO198" s="77"/>
    </row>
    <row r="199" ht="13.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c r="AA199" s="77"/>
      <c r="AB199" s="77"/>
      <c r="AC199" s="77"/>
      <c r="AD199" s="77"/>
      <c r="AE199" s="77"/>
      <c r="AF199" s="77"/>
      <c r="AG199" s="77"/>
      <c r="AH199" s="77"/>
      <c r="AI199" s="77"/>
      <c r="AJ199" s="77"/>
      <c r="AK199" s="77"/>
      <c r="AL199" s="77"/>
      <c r="AM199" s="77"/>
      <c r="AN199" s="77"/>
      <c r="AO199" s="77"/>
    </row>
    <row r="200" ht="13.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c r="AA200" s="77"/>
      <c r="AB200" s="77"/>
      <c r="AC200" s="77"/>
      <c r="AD200" s="77"/>
      <c r="AE200" s="77"/>
      <c r="AF200" s="77"/>
      <c r="AG200" s="77"/>
      <c r="AH200" s="77"/>
      <c r="AI200" s="77"/>
      <c r="AJ200" s="77"/>
      <c r="AK200" s="77"/>
      <c r="AL200" s="77"/>
      <c r="AM200" s="77"/>
      <c r="AN200" s="77"/>
      <c r="AO200" s="77"/>
    </row>
    <row r="201" ht="13.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c r="AA201" s="77"/>
      <c r="AB201" s="77"/>
      <c r="AC201" s="77"/>
      <c r="AD201" s="77"/>
      <c r="AE201" s="77"/>
      <c r="AF201" s="77"/>
      <c r="AG201" s="77"/>
      <c r="AH201" s="77"/>
      <c r="AI201" s="77"/>
      <c r="AJ201" s="77"/>
      <c r="AK201" s="77"/>
      <c r="AL201" s="77"/>
      <c r="AM201" s="77"/>
      <c r="AN201" s="77"/>
      <c r="AO201" s="77"/>
    </row>
    <row r="202" ht="13.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c r="AA202" s="77"/>
      <c r="AB202" s="77"/>
      <c r="AC202" s="77"/>
      <c r="AD202" s="77"/>
      <c r="AE202" s="77"/>
      <c r="AF202" s="77"/>
      <c r="AG202" s="77"/>
      <c r="AH202" s="77"/>
      <c r="AI202" s="77"/>
      <c r="AJ202" s="77"/>
      <c r="AK202" s="77"/>
      <c r="AL202" s="77"/>
      <c r="AM202" s="77"/>
      <c r="AN202" s="77"/>
      <c r="AO202" s="77"/>
    </row>
    <row r="203" ht="13.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c r="AA203" s="77"/>
      <c r="AB203" s="77"/>
      <c r="AC203" s="77"/>
      <c r="AD203" s="77"/>
      <c r="AE203" s="77"/>
      <c r="AF203" s="77"/>
      <c r="AG203" s="77"/>
      <c r="AH203" s="77"/>
      <c r="AI203" s="77"/>
      <c r="AJ203" s="77"/>
      <c r="AK203" s="77"/>
      <c r="AL203" s="77"/>
      <c r="AM203" s="77"/>
      <c r="AN203" s="77"/>
      <c r="AO203" s="77"/>
    </row>
    <row r="204" ht="13.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c r="AA204" s="77"/>
      <c r="AB204" s="77"/>
      <c r="AC204" s="77"/>
      <c r="AD204" s="77"/>
      <c r="AE204" s="77"/>
      <c r="AF204" s="77"/>
      <c r="AG204" s="77"/>
      <c r="AH204" s="77"/>
      <c r="AI204" s="77"/>
      <c r="AJ204" s="77"/>
      <c r="AK204" s="77"/>
      <c r="AL204" s="77"/>
      <c r="AM204" s="77"/>
      <c r="AN204" s="77"/>
      <c r="AO204" s="77"/>
    </row>
    <row r="205" ht="13.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c r="AA205" s="77"/>
      <c r="AB205" s="77"/>
      <c r="AC205" s="77"/>
      <c r="AD205" s="77"/>
      <c r="AE205" s="77"/>
      <c r="AF205" s="77"/>
      <c r="AG205" s="77"/>
      <c r="AH205" s="77"/>
      <c r="AI205" s="77"/>
      <c r="AJ205" s="77"/>
      <c r="AK205" s="77"/>
      <c r="AL205" s="77"/>
      <c r="AM205" s="77"/>
      <c r="AN205" s="77"/>
      <c r="AO205" s="77"/>
    </row>
    <row r="206" ht="13.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c r="AA206" s="77"/>
      <c r="AB206" s="77"/>
      <c r="AC206" s="77"/>
      <c r="AD206" s="77"/>
      <c r="AE206" s="77"/>
      <c r="AF206" s="77"/>
      <c r="AG206" s="77"/>
      <c r="AH206" s="77"/>
      <c r="AI206" s="77"/>
      <c r="AJ206" s="77"/>
      <c r="AK206" s="77"/>
      <c r="AL206" s="77"/>
      <c r="AM206" s="77"/>
      <c r="AN206" s="77"/>
      <c r="AO206" s="77"/>
    </row>
    <row r="207" ht="13.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c r="AA207" s="77"/>
      <c r="AB207" s="77"/>
      <c r="AC207" s="77"/>
      <c r="AD207" s="77"/>
      <c r="AE207" s="77"/>
      <c r="AF207" s="77"/>
      <c r="AG207" s="77"/>
      <c r="AH207" s="77"/>
      <c r="AI207" s="77"/>
      <c r="AJ207" s="77"/>
      <c r="AK207" s="77"/>
      <c r="AL207" s="77"/>
      <c r="AM207" s="77"/>
      <c r="AN207" s="77"/>
      <c r="AO207" s="77"/>
    </row>
    <row r="208" ht="13.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c r="AA208" s="77"/>
      <c r="AB208" s="77"/>
      <c r="AC208" s="77"/>
      <c r="AD208" s="77"/>
      <c r="AE208" s="77"/>
      <c r="AF208" s="77"/>
      <c r="AG208" s="77"/>
      <c r="AH208" s="77"/>
      <c r="AI208" s="77"/>
      <c r="AJ208" s="77"/>
      <c r="AK208" s="77"/>
      <c r="AL208" s="77"/>
      <c r="AM208" s="77"/>
      <c r="AN208" s="77"/>
      <c r="AO208" s="77"/>
    </row>
    <row r="209" ht="13.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c r="AA209" s="77"/>
      <c r="AB209" s="77"/>
      <c r="AC209" s="77"/>
      <c r="AD209" s="77"/>
      <c r="AE209" s="77"/>
      <c r="AF209" s="77"/>
      <c r="AG209" s="77"/>
      <c r="AH209" s="77"/>
      <c r="AI209" s="77"/>
      <c r="AJ209" s="77"/>
      <c r="AK209" s="77"/>
      <c r="AL209" s="77"/>
      <c r="AM209" s="77"/>
      <c r="AN209" s="77"/>
      <c r="AO209" s="77"/>
    </row>
    <row r="210" ht="13.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c r="AA210" s="77"/>
      <c r="AB210" s="77"/>
      <c r="AC210" s="77"/>
      <c r="AD210" s="77"/>
      <c r="AE210" s="77"/>
      <c r="AF210" s="77"/>
      <c r="AG210" s="77"/>
      <c r="AH210" s="77"/>
      <c r="AI210" s="77"/>
      <c r="AJ210" s="77"/>
      <c r="AK210" s="77"/>
      <c r="AL210" s="77"/>
      <c r="AM210" s="77"/>
      <c r="AN210" s="77"/>
      <c r="AO210" s="77"/>
    </row>
    <row r="211" ht="13.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c r="AA211" s="77"/>
      <c r="AB211" s="77"/>
      <c r="AC211" s="77"/>
      <c r="AD211" s="77"/>
      <c r="AE211" s="77"/>
      <c r="AF211" s="77"/>
      <c r="AG211" s="77"/>
      <c r="AH211" s="77"/>
      <c r="AI211" s="77"/>
      <c r="AJ211" s="77"/>
      <c r="AK211" s="77"/>
      <c r="AL211" s="77"/>
      <c r="AM211" s="77"/>
      <c r="AN211" s="77"/>
      <c r="AO211" s="77"/>
    </row>
    <row r="212" ht="13.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c r="AA212" s="77"/>
      <c r="AB212" s="77"/>
      <c r="AC212" s="77"/>
      <c r="AD212" s="77"/>
      <c r="AE212" s="77"/>
      <c r="AF212" s="77"/>
      <c r="AG212" s="77"/>
      <c r="AH212" s="77"/>
      <c r="AI212" s="77"/>
      <c r="AJ212" s="77"/>
      <c r="AK212" s="77"/>
      <c r="AL212" s="77"/>
      <c r="AM212" s="77"/>
      <c r="AN212" s="77"/>
      <c r="AO212" s="77"/>
    </row>
    <row r="213" ht="13.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c r="AA213" s="77"/>
      <c r="AB213" s="77"/>
      <c r="AC213" s="77"/>
      <c r="AD213" s="77"/>
      <c r="AE213" s="77"/>
      <c r="AF213" s="77"/>
      <c r="AG213" s="77"/>
      <c r="AH213" s="77"/>
      <c r="AI213" s="77"/>
      <c r="AJ213" s="77"/>
      <c r="AK213" s="77"/>
      <c r="AL213" s="77"/>
      <c r="AM213" s="77"/>
      <c r="AN213" s="77"/>
      <c r="AO213" s="77"/>
    </row>
    <row r="214" ht="13.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c r="AA214" s="77"/>
      <c r="AB214" s="77"/>
      <c r="AC214" s="77"/>
      <c r="AD214" s="77"/>
      <c r="AE214" s="77"/>
      <c r="AF214" s="77"/>
      <c r="AG214" s="77"/>
      <c r="AH214" s="77"/>
      <c r="AI214" s="77"/>
      <c r="AJ214" s="77"/>
      <c r="AK214" s="77"/>
      <c r="AL214" s="77"/>
      <c r="AM214" s="77"/>
      <c r="AN214" s="77"/>
      <c r="AO214" s="77"/>
    </row>
    <row r="215" ht="13.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c r="AA215" s="77"/>
      <c r="AB215" s="77"/>
      <c r="AC215" s="77"/>
      <c r="AD215" s="77"/>
      <c r="AE215" s="77"/>
      <c r="AF215" s="77"/>
      <c r="AG215" s="77"/>
      <c r="AH215" s="77"/>
      <c r="AI215" s="77"/>
      <c r="AJ215" s="77"/>
      <c r="AK215" s="77"/>
      <c r="AL215" s="77"/>
      <c r="AM215" s="77"/>
      <c r="AN215" s="77"/>
      <c r="AO215" s="77"/>
    </row>
    <row r="216" ht="13.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c r="AA216" s="77"/>
      <c r="AB216" s="77"/>
      <c r="AC216" s="77"/>
      <c r="AD216" s="77"/>
      <c r="AE216" s="77"/>
      <c r="AF216" s="77"/>
      <c r="AG216" s="77"/>
      <c r="AH216" s="77"/>
      <c r="AI216" s="77"/>
      <c r="AJ216" s="77"/>
      <c r="AK216" s="77"/>
      <c r="AL216" s="77"/>
      <c r="AM216" s="77"/>
      <c r="AN216" s="77"/>
      <c r="AO216" s="77"/>
    </row>
    <row r="217" ht="13.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c r="AK217" s="77"/>
      <c r="AL217" s="77"/>
      <c r="AM217" s="77"/>
      <c r="AN217" s="77"/>
      <c r="AO217" s="77"/>
    </row>
    <row r="218" ht="13.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c r="AK218" s="77"/>
      <c r="AL218" s="77"/>
      <c r="AM218" s="77"/>
      <c r="AN218" s="77"/>
      <c r="AO218" s="77"/>
    </row>
    <row r="219" ht="13.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c r="AK219" s="77"/>
      <c r="AL219" s="77"/>
      <c r="AM219" s="77"/>
      <c r="AN219" s="77"/>
      <c r="AO219" s="77"/>
    </row>
    <row r="220" ht="13.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c r="AK220" s="77"/>
      <c r="AL220" s="77"/>
      <c r="AM220" s="77"/>
      <c r="AN220" s="77"/>
      <c r="AO220" s="77"/>
    </row>
    <row r="221" ht="13.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c r="AK221" s="77"/>
      <c r="AL221" s="77"/>
      <c r="AM221" s="77"/>
      <c r="AN221" s="77"/>
      <c r="AO221" s="77"/>
    </row>
    <row r="222" ht="13.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c r="AK222" s="77"/>
      <c r="AL222" s="77"/>
      <c r="AM222" s="77"/>
      <c r="AN222" s="77"/>
      <c r="AO222" s="77"/>
    </row>
    <row r="223" ht="13.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c r="AK223" s="77"/>
      <c r="AL223" s="77"/>
      <c r="AM223" s="77"/>
      <c r="AN223" s="77"/>
      <c r="AO223" s="77"/>
    </row>
    <row r="224" ht="13.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c r="AK224" s="77"/>
      <c r="AL224" s="77"/>
      <c r="AM224" s="77"/>
      <c r="AN224" s="77"/>
      <c r="AO224" s="77"/>
    </row>
    <row r="225" ht="13.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c r="AA225" s="77"/>
      <c r="AB225" s="77"/>
      <c r="AC225" s="77"/>
      <c r="AD225" s="77"/>
      <c r="AE225" s="77"/>
      <c r="AF225" s="77"/>
      <c r="AG225" s="77"/>
      <c r="AH225" s="77"/>
      <c r="AI225" s="77"/>
      <c r="AJ225" s="77"/>
      <c r="AK225" s="77"/>
      <c r="AL225" s="77"/>
      <c r="AM225" s="77"/>
      <c r="AN225" s="77"/>
      <c r="AO225" s="77"/>
    </row>
    <row r="226" ht="13.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row>
    <row r="227" ht="13.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row>
    <row r="228" ht="13.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c r="AA228" s="77"/>
      <c r="AB228" s="77"/>
      <c r="AC228" s="77"/>
      <c r="AD228" s="77"/>
      <c r="AE228" s="77"/>
      <c r="AF228" s="77"/>
      <c r="AG228" s="77"/>
      <c r="AH228" s="77"/>
      <c r="AI228" s="77"/>
      <c r="AJ228" s="77"/>
      <c r="AK228" s="77"/>
      <c r="AL228" s="77"/>
      <c r="AM228" s="77"/>
      <c r="AN228" s="77"/>
      <c r="AO228" s="77"/>
    </row>
    <row r="229" ht="13.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c r="AA229" s="77"/>
      <c r="AB229" s="77"/>
      <c r="AC229" s="77"/>
      <c r="AD229" s="77"/>
      <c r="AE229" s="77"/>
      <c r="AF229" s="77"/>
      <c r="AG229" s="77"/>
      <c r="AH229" s="77"/>
      <c r="AI229" s="77"/>
      <c r="AJ229" s="77"/>
      <c r="AK229" s="77"/>
      <c r="AL229" s="77"/>
      <c r="AM229" s="77"/>
      <c r="AN229" s="77"/>
      <c r="AO229" s="77"/>
    </row>
    <row r="230" ht="13.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row>
    <row r="231" ht="13.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row>
    <row r="232" ht="13.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c r="AA232" s="77"/>
      <c r="AB232" s="77"/>
      <c r="AC232" s="77"/>
      <c r="AD232" s="77"/>
      <c r="AE232" s="77"/>
      <c r="AF232" s="77"/>
      <c r="AG232" s="77"/>
      <c r="AH232" s="77"/>
      <c r="AI232" s="77"/>
      <c r="AJ232" s="77"/>
      <c r="AK232" s="77"/>
      <c r="AL232" s="77"/>
      <c r="AM232" s="77"/>
      <c r="AN232" s="77"/>
      <c r="AO232" s="77"/>
    </row>
    <row r="233" ht="13.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c r="AA233" s="77"/>
      <c r="AB233" s="77"/>
      <c r="AC233" s="77"/>
      <c r="AD233" s="77"/>
      <c r="AE233" s="77"/>
      <c r="AF233" s="77"/>
      <c r="AG233" s="77"/>
      <c r="AH233" s="77"/>
      <c r="AI233" s="77"/>
      <c r="AJ233" s="77"/>
      <c r="AK233" s="77"/>
      <c r="AL233" s="77"/>
      <c r="AM233" s="77"/>
      <c r="AN233" s="77"/>
      <c r="AO233" s="77"/>
    </row>
    <row r="234" ht="13.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row>
    <row r="235" ht="13.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row>
    <row r="236" ht="13.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c r="AA236" s="77"/>
      <c r="AB236" s="77"/>
      <c r="AC236" s="77"/>
      <c r="AD236" s="77"/>
      <c r="AE236" s="77"/>
      <c r="AF236" s="77"/>
      <c r="AG236" s="77"/>
      <c r="AH236" s="77"/>
      <c r="AI236" s="77"/>
      <c r="AJ236" s="77"/>
      <c r="AK236" s="77"/>
      <c r="AL236" s="77"/>
      <c r="AM236" s="77"/>
      <c r="AN236" s="77"/>
      <c r="AO236" s="77"/>
    </row>
    <row r="237" ht="13.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c r="AA237" s="77"/>
      <c r="AB237" s="77"/>
      <c r="AC237" s="77"/>
      <c r="AD237" s="77"/>
      <c r="AE237" s="77"/>
      <c r="AF237" s="77"/>
      <c r="AG237" s="77"/>
      <c r="AH237" s="77"/>
      <c r="AI237" s="77"/>
      <c r="AJ237" s="77"/>
      <c r="AK237" s="77"/>
      <c r="AL237" s="77"/>
      <c r="AM237" s="77"/>
      <c r="AN237" s="77"/>
      <c r="AO237" s="77"/>
    </row>
    <row r="238" ht="13.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row>
    <row r="239" ht="13.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row>
    <row r="240" ht="13.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row>
    <row r="241" ht="13.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row>
    <row r="242" ht="13.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row>
    <row r="243" ht="13.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row>
    <row r="244" ht="13.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row>
    <row r="245" ht="13.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row>
    <row r="246" ht="13.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row>
    <row r="247" ht="13.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row>
    <row r="248" ht="13.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row>
    <row r="249" ht="13.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row>
    <row r="250" ht="13.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row>
    <row r="251" ht="13.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row>
    <row r="252" ht="13.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row>
    <row r="253" ht="13.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row>
    <row r="254" ht="13.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row>
    <row r="255" ht="13.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c r="AK255" s="77"/>
      <c r="AL255" s="77"/>
      <c r="AM255" s="77"/>
      <c r="AN255" s="77"/>
      <c r="AO255" s="77"/>
    </row>
    <row r="256" ht="13.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row>
    <row r="257" ht="13.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row>
    <row r="258" ht="13.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row>
    <row r="259" ht="13.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7"/>
      <c r="AF259" s="77"/>
      <c r="AG259" s="77"/>
      <c r="AH259" s="77"/>
      <c r="AI259" s="77"/>
      <c r="AJ259" s="77"/>
      <c r="AK259" s="77"/>
      <c r="AL259" s="77"/>
      <c r="AM259" s="77"/>
      <c r="AN259" s="77"/>
      <c r="AO259" s="77"/>
    </row>
    <row r="260" ht="13.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c r="AI260" s="77"/>
      <c r="AJ260" s="77"/>
      <c r="AK260" s="77"/>
      <c r="AL260" s="77"/>
      <c r="AM260" s="77"/>
      <c r="AN260" s="77"/>
      <c r="AO260" s="77"/>
    </row>
    <row r="261" ht="13.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row>
    <row r="262" ht="13.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row>
    <row r="263" ht="13.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row>
    <row r="264" ht="13.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row>
    <row r="265" ht="13.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row>
    <row r="266" ht="13.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row>
    <row r="267" ht="13.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row>
    <row r="268" ht="13.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row>
    <row r="269" ht="13.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row>
    <row r="270" ht="13.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row>
    <row r="271" ht="13.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row>
    <row r="272" ht="13.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row>
    <row r="273" ht="13.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row>
    <row r="274" ht="13.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row>
    <row r="275" ht="13.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row>
    <row r="276" ht="13.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row>
    <row r="277" ht="13.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row>
    <row r="278" ht="13.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row>
    <row r="279" ht="13.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row>
    <row r="280" ht="13.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row>
    <row r="281" ht="13.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row>
    <row r="282" ht="13.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row>
    <row r="283" ht="13.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row>
    <row r="284" ht="13.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row>
    <row r="285" ht="13.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row>
    <row r="286" ht="13.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row>
    <row r="287" ht="13.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row>
    <row r="288" ht="13.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row>
    <row r="289" ht="13.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row>
    <row r="290" ht="13.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row>
    <row r="291" ht="13.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row>
    <row r="292" ht="13.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row>
    <row r="293" ht="13.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row>
    <row r="294" ht="13.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row>
    <row r="295" ht="13.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row>
    <row r="296" ht="13.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row>
    <row r="297" ht="13.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row>
    <row r="298" ht="13.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row>
    <row r="299" ht="13.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row>
    <row r="300" ht="13.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row>
    <row r="301" ht="13.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row>
    <row r="302" ht="13.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row>
    <row r="303" ht="13.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row>
    <row r="304" ht="13.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row>
    <row r="305" ht="13.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row>
    <row r="306" ht="13.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row>
    <row r="307" ht="13.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row>
    <row r="308" ht="13.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row>
    <row r="309" ht="13.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row>
    <row r="310" ht="13.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row>
    <row r="311" ht="13.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row>
    <row r="312" ht="13.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row>
    <row r="313" ht="13.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row>
    <row r="314" ht="13.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row>
    <row r="315" ht="13.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row>
    <row r="316" ht="13.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row>
    <row r="317" ht="13.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row>
    <row r="318" ht="13.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row>
    <row r="319" ht="13.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row>
    <row r="320" ht="13.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row>
    <row r="321" ht="13.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row>
    <row r="322" ht="13.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row>
    <row r="323" ht="13.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row>
    <row r="324" ht="13.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row>
    <row r="325" ht="13.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row>
    <row r="326" ht="13.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row>
    <row r="327" ht="13.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row>
    <row r="328" ht="13.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row>
    <row r="329" ht="13.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row>
    <row r="330" ht="13.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row>
    <row r="331" ht="13.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row>
    <row r="332" ht="13.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row>
    <row r="333" ht="13.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row>
    <row r="334" ht="13.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row>
    <row r="335" ht="13.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c r="AG335" s="77"/>
      <c r="AH335" s="77"/>
      <c r="AI335" s="77"/>
      <c r="AJ335" s="77"/>
      <c r="AK335" s="77"/>
      <c r="AL335" s="77"/>
      <c r="AM335" s="77"/>
      <c r="AN335" s="77"/>
      <c r="AO335" s="77"/>
    </row>
    <row r="336" ht="13.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c r="AI336" s="77"/>
      <c r="AJ336" s="77"/>
      <c r="AK336" s="77"/>
      <c r="AL336" s="77"/>
      <c r="AM336" s="77"/>
      <c r="AN336" s="77"/>
      <c r="AO336" s="77"/>
    </row>
    <row r="337" ht="13.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c r="AG337" s="77"/>
      <c r="AH337" s="77"/>
      <c r="AI337" s="77"/>
      <c r="AJ337" s="77"/>
      <c r="AK337" s="77"/>
      <c r="AL337" s="77"/>
      <c r="AM337" s="77"/>
      <c r="AN337" s="77"/>
      <c r="AO337" s="77"/>
    </row>
    <row r="338" ht="13.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c r="AI338" s="77"/>
      <c r="AJ338" s="77"/>
      <c r="AK338" s="77"/>
      <c r="AL338" s="77"/>
      <c r="AM338" s="77"/>
      <c r="AN338" s="77"/>
      <c r="AO338" s="77"/>
    </row>
    <row r="339" ht="13.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c r="AG339" s="77"/>
      <c r="AH339" s="77"/>
      <c r="AI339" s="77"/>
      <c r="AJ339" s="77"/>
      <c r="AK339" s="77"/>
      <c r="AL339" s="77"/>
      <c r="AM339" s="77"/>
      <c r="AN339" s="77"/>
      <c r="AO339" s="77"/>
    </row>
    <row r="340" ht="13.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row>
    <row r="341" ht="13.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row>
    <row r="342" ht="13.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row>
    <row r="343" ht="13.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row>
    <row r="344" ht="13.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row>
    <row r="345" ht="13.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row>
    <row r="346" ht="13.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row>
    <row r="347" ht="13.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row>
    <row r="348" ht="13.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row>
    <row r="349" ht="13.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row>
    <row r="350" ht="13.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row>
    <row r="351" ht="13.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row>
    <row r="352" ht="13.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row>
    <row r="353" ht="13.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row>
    <row r="354" ht="13.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row>
    <row r="355" ht="13.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row>
    <row r="356" ht="13.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c r="AI356" s="77"/>
      <c r="AJ356" s="77"/>
      <c r="AK356" s="77"/>
      <c r="AL356" s="77"/>
      <c r="AM356" s="77"/>
      <c r="AN356" s="77"/>
      <c r="AO356" s="77"/>
    </row>
    <row r="357" ht="13.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c r="AG357" s="77"/>
      <c r="AH357" s="77"/>
      <c r="AI357" s="77"/>
      <c r="AJ357" s="77"/>
      <c r="AK357" s="77"/>
      <c r="AL357" s="77"/>
      <c r="AM357" s="77"/>
      <c r="AN357" s="77"/>
      <c r="AO357" s="77"/>
    </row>
    <row r="358" ht="13.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c r="AI358" s="77"/>
      <c r="AJ358" s="77"/>
      <c r="AK358" s="77"/>
      <c r="AL358" s="77"/>
      <c r="AM358" s="77"/>
      <c r="AN358" s="77"/>
      <c r="AO358" s="77"/>
    </row>
    <row r="359" ht="13.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c r="AG359" s="77"/>
      <c r="AH359" s="77"/>
      <c r="AI359" s="77"/>
      <c r="AJ359" s="77"/>
      <c r="AK359" s="77"/>
      <c r="AL359" s="77"/>
      <c r="AM359" s="77"/>
      <c r="AN359" s="77"/>
      <c r="AO359" s="77"/>
    </row>
    <row r="360" ht="13.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c r="AI360" s="77"/>
      <c r="AJ360" s="77"/>
      <c r="AK360" s="77"/>
      <c r="AL360" s="77"/>
      <c r="AM360" s="77"/>
      <c r="AN360" s="77"/>
      <c r="AO360" s="77"/>
    </row>
    <row r="361" ht="13.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c r="AG361" s="77"/>
      <c r="AH361" s="77"/>
      <c r="AI361" s="77"/>
      <c r="AJ361" s="77"/>
      <c r="AK361" s="77"/>
      <c r="AL361" s="77"/>
      <c r="AM361" s="77"/>
      <c r="AN361" s="77"/>
      <c r="AO361" s="77"/>
    </row>
    <row r="362" ht="13.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c r="AI362" s="77"/>
      <c r="AJ362" s="77"/>
      <c r="AK362" s="77"/>
      <c r="AL362" s="77"/>
      <c r="AM362" s="77"/>
      <c r="AN362" s="77"/>
      <c r="AO362" s="77"/>
    </row>
    <row r="363" ht="13.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row>
    <row r="364" ht="13.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row>
    <row r="365" ht="13.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row>
    <row r="366" ht="13.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row>
    <row r="367" ht="13.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row>
    <row r="368" ht="13.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row>
    <row r="369" ht="13.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row>
    <row r="370" ht="13.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row>
    <row r="371" ht="13.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row>
    <row r="372" ht="13.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row>
    <row r="373" ht="13.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row>
    <row r="374" ht="13.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row>
    <row r="375" ht="13.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row>
    <row r="376" ht="13.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row>
    <row r="377" ht="13.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row>
    <row r="378" ht="13.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row>
    <row r="379" ht="13.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row>
    <row r="380" ht="13.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row>
    <row r="381" ht="13.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row>
    <row r="382" ht="13.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row>
    <row r="383" ht="13.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row>
    <row r="384" ht="13.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row>
    <row r="385" ht="13.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row>
    <row r="386" ht="13.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row>
    <row r="387" ht="13.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row>
    <row r="388" ht="13.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row>
    <row r="389" ht="13.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row>
    <row r="390" ht="13.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row>
    <row r="391" ht="13.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row>
    <row r="392" ht="13.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row>
    <row r="393" ht="13.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row>
    <row r="394" ht="13.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row>
    <row r="395" ht="13.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row>
    <row r="396" ht="13.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row>
    <row r="397" ht="13.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row>
    <row r="398" ht="13.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row>
    <row r="399" ht="13.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row>
    <row r="400" ht="13.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row>
    <row r="401" ht="13.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row>
    <row r="402" ht="13.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row>
    <row r="403" ht="13.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row>
    <row r="404" ht="13.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row>
    <row r="405" ht="13.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c r="AG405" s="77"/>
      <c r="AH405" s="77"/>
      <c r="AI405" s="77"/>
      <c r="AJ405" s="77"/>
      <c r="AK405" s="77"/>
      <c r="AL405" s="77"/>
      <c r="AM405" s="77"/>
      <c r="AN405" s="77"/>
      <c r="AO405" s="77"/>
    </row>
    <row r="406" ht="13.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c r="AI406" s="77"/>
      <c r="AJ406" s="77"/>
      <c r="AK406" s="77"/>
      <c r="AL406" s="77"/>
      <c r="AM406" s="77"/>
      <c r="AN406" s="77"/>
      <c r="AO406" s="77"/>
    </row>
    <row r="407" ht="13.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c r="AG407" s="77"/>
      <c r="AH407" s="77"/>
      <c r="AI407" s="77"/>
      <c r="AJ407" s="77"/>
      <c r="AK407" s="77"/>
      <c r="AL407" s="77"/>
      <c r="AM407" s="77"/>
      <c r="AN407" s="77"/>
      <c r="AO407" s="77"/>
    </row>
    <row r="408" ht="13.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c r="AI408" s="77"/>
      <c r="AJ408" s="77"/>
      <c r="AK408" s="77"/>
      <c r="AL408" s="77"/>
      <c r="AM408" s="77"/>
      <c r="AN408" s="77"/>
      <c r="AO408" s="77"/>
    </row>
    <row r="409" ht="13.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c r="AG409" s="77"/>
      <c r="AH409" s="77"/>
      <c r="AI409" s="77"/>
      <c r="AJ409" s="77"/>
      <c r="AK409" s="77"/>
      <c r="AL409" s="77"/>
      <c r="AM409" s="77"/>
      <c r="AN409" s="77"/>
      <c r="AO409" s="77"/>
    </row>
    <row r="410" ht="13.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c r="AI410" s="77"/>
      <c r="AJ410" s="77"/>
      <c r="AK410" s="77"/>
      <c r="AL410" s="77"/>
      <c r="AM410" s="77"/>
      <c r="AN410" s="77"/>
      <c r="AO410" s="77"/>
    </row>
    <row r="411" ht="13.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c r="AG411" s="77"/>
      <c r="AH411" s="77"/>
      <c r="AI411" s="77"/>
      <c r="AJ411" s="77"/>
      <c r="AK411" s="77"/>
      <c r="AL411" s="77"/>
      <c r="AM411" s="77"/>
      <c r="AN411" s="77"/>
      <c r="AO411" s="77"/>
    </row>
    <row r="412" ht="13.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77"/>
      <c r="AJ412" s="77"/>
      <c r="AK412" s="77"/>
      <c r="AL412" s="77"/>
      <c r="AM412" s="77"/>
      <c r="AN412" s="77"/>
      <c r="AO412" s="77"/>
    </row>
    <row r="413" ht="13.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c r="AG413" s="77"/>
      <c r="AH413" s="77"/>
      <c r="AI413" s="77"/>
      <c r="AJ413" s="77"/>
      <c r="AK413" s="77"/>
      <c r="AL413" s="77"/>
      <c r="AM413" s="77"/>
      <c r="AN413" s="77"/>
      <c r="AO413" s="77"/>
    </row>
    <row r="414" ht="13.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c r="AI414" s="77"/>
      <c r="AJ414" s="77"/>
      <c r="AK414" s="77"/>
      <c r="AL414" s="77"/>
      <c r="AM414" s="77"/>
      <c r="AN414" s="77"/>
      <c r="AO414" s="77"/>
    </row>
    <row r="415" ht="13.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c r="AG415" s="77"/>
      <c r="AH415" s="77"/>
      <c r="AI415" s="77"/>
      <c r="AJ415" s="77"/>
      <c r="AK415" s="77"/>
      <c r="AL415" s="77"/>
      <c r="AM415" s="77"/>
      <c r="AN415" s="77"/>
      <c r="AO415" s="77"/>
    </row>
    <row r="416" ht="13.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c r="AI416" s="77"/>
      <c r="AJ416" s="77"/>
      <c r="AK416" s="77"/>
      <c r="AL416" s="77"/>
      <c r="AM416" s="77"/>
      <c r="AN416" s="77"/>
      <c r="AO416" s="77"/>
    </row>
    <row r="417" ht="13.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c r="AG417" s="77"/>
      <c r="AH417" s="77"/>
      <c r="AI417" s="77"/>
      <c r="AJ417" s="77"/>
      <c r="AK417" s="77"/>
      <c r="AL417" s="77"/>
      <c r="AM417" s="77"/>
      <c r="AN417" s="77"/>
      <c r="AO417" s="77"/>
    </row>
    <row r="418" ht="13.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c r="AI418" s="77"/>
      <c r="AJ418" s="77"/>
      <c r="AK418" s="77"/>
      <c r="AL418" s="77"/>
      <c r="AM418" s="77"/>
      <c r="AN418" s="77"/>
      <c r="AO418" s="77"/>
    </row>
    <row r="419" ht="13.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c r="AG419" s="77"/>
      <c r="AH419" s="77"/>
      <c r="AI419" s="77"/>
      <c r="AJ419" s="77"/>
      <c r="AK419" s="77"/>
      <c r="AL419" s="77"/>
      <c r="AM419" s="77"/>
      <c r="AN419" s="77"/>
      <c r="AO419" s="77"/>
    </row>
    <row r="420" ht="13.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c r="AK420" s="77"/>
      <c r="AL420" s="77"/>
      <c r="AM420" s="77"/>
      <c r="AN420" s="77"/>
      <c r="AO420" s="77"/>
    </row>
    <row r="421" ht="13.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c r="AG421" s="77"/>
      <c r="AH421" s="77"/>
      <c r="AI421" s="77"/>
      <c r="AJ421" s="77"/>
      <c r="AK421" s="77"/>
      <c r="AL421" s="77"/>
      <c r="AM421" s="77"/>
      <c r="AN421" s="77"/>
      <c r="AO421" s="77"/>
    </row>
    <row r="422" ht="13.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c r="AI422" s="77"/>
      <c r="AJ422" s="77"/>
      <c r="AK422" s="77"/>
      <c r="AL422" s="77"/>
      <c r="AM422" s="77"/>
      <c r="AN422" s="77"/>
      <c r="AO422" s="77"/>
    </row>
    <row r="423" ht="13.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c r="AG423" s="77"/>
      <c r="AH423" s="77"/>
      <c r="AI423" s="77"/>
      <c r="AJ423" s="77"/>
      <c r="AK423" s="77"/>
      <c r="AL423" s="77"/>
      <c r="AM423" s="77"/>
      <c r="AN423" s="77"/>
      <c r="AO423" s="77"/>
    </row>
    <row r="424" ht="13.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c r="AI424" s="77"/>
      <c r="AJ424" s="77"/>
      <c r="AK424" s="77"/>
      <c r="AL424" s="77"/>
      <c r="AM424" s="77"/>
      <c r="AN424" s="77"/>
      <c r="AO424" s="77"/>
    </row>
    <row r="425" ht="13.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c r="AA425" s="77"/>
      <c r="AB425" s="77"/>
      <c r="AC425" s="77"/>
      <c r="AD425" s="77"/>
      <c r="AE425" s="77"/>
      <c r="AF425" s="77"/>
      <c r="AG425" s="77"/>
      <c r="AH425" s="77"/>
      <c r="AI425" s="77"/>
      <c r="AJ425" s="77"/>
      <c r="AK425" s="77"/>
      <c r="AL425" s="77"/>
      <c r="AM425" s="77"/>
      <c r="AN425" s="77"/>
      <c r="AO425" s="77"/>
    </row>
    <row r="426" ht="13.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c r="AA426" s="77"/>
      <c r="AB426" s="77"/>
      <c r="AC426" s="77"/>
      <c r="AD426" s="77"/>
      <c r="AE426" s="77"/>
      <c r="AF426" s="77"/>
      <c r="AG426" s="77"/>
      <c r="AH426" s="77"/>
      <c r="AI426" s="77"/>
      <c r="AJ426" s="77"/>
      <c r="AK426" s="77"/>
      <c r="AL426" s="77"/>
      <c r="AM426" s="77"/>
      <c r="AN426" s="77"/>
      <c r="AO426" s="77"/>
    </row>
    <row r="427" ht="13.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c r="AA427" s="77"/>
      <c r="AB427" s="77"/>
      <c r="AC427" s="77"/>
      <c r="AD427" s="77"/>
      <c r="AE427" s="77"/>
      <c r="AF427" s="77"/>
      <c r="AG427" s="77"/>
      <c r="AH427" s="77"/>
      <c r="AI427" s="77"/>
      <c r="AJ427" s="77"/>
      <c r="AK427" s="77"/>
      <c r="AL427" s="77"/>
      <c r="AM427" s="77"/>
      <c r="AN427" s="77"/>
      <c r="AO427" s="77"/>
    </row>
    <row r="428" ht="13.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c r="AA428" s="77"/>
      <c r="AB428" s="77"/>
      <c r="AC428" s="77"/>
      <c r="AD428" s="77"/>
      <c r="AE428" s="77"/>
      <c r="AF428" s="77"/>
      <c r="AG428" s="77"/>
      <c r="AH428" s="77"/>
      <c r="AI428" s="77"/>
      <c r="AJ428" s="77"/>
      <c r="AK428" s="77"/>
      <c r="AL428" s="77"/>
      <c r="AM428" s="77"/>
      <c r="AN428" s="77"/>
      <c r="AO428" s="77"/>
    </row>
    <row r="429" ht="13.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c r="AA429" s="77"/>
      <c r="AB429" s="77"/>
      <c r="AC429" s="77"/>
      <c r="AD429" s="77"/>
      <c r="AE429" s="77"/>
      <c r="AF429" s="77"/>
      <c r="AG429" s="77"/>
      <c r="AH429" s="77"/>
      <c r="AI429" s="77"/>
      <c r="AJ429" s="77"/>
      <c r="AK429" s="77"/>
      <c r="AL429" s="77"/>
      <c r="AM429" s="77"/>
      <c r="AN429" s="77"/>
      <c r="AO429" s="77"/>
    </row>
    <row r="430" ht="13.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c r="AA430" s="77"/>
      <c r="AB430" s="77"/>
      <c r="AC430" s="77"/>
      <c r="AD430" s="77"/>
      <c r="AE430" s="77"/>
      <c r="AF430" s="77"/>
      <c r="AG430" s="77"/>
      <c r="AH430" s="77"/>
      <c r="AI430" s="77"/>
      <c r="AJ430" s="77"/>
      <c r="AK430" s="77"/>
      <c r="AL430" s="77"/>
      <c r="AM430" s="77"/>
      <c r="AN430" s="77"/>
      <c r="AO430" s="77"/>
    </row>
    <row r="431" ht="13.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c r="AA431" s="77"/>
      <c r="AB431" s="77"/>
      <c r="AC431" s="77"/>
      <c r="AD431" s="77"/>
      <c r="AE431" s="77"/>
      <c r="AF431" s="77"/>
      <c r="AG431" s="77"/>
      <c r="AH431" s="77"/>
      <c r="AI431" s="77"/>
      <c r="AJ431" s="77"/>
      <c r="AK431" s="77"/>
      <c r="AL431" s="77"/>
      <c r="AM431" s="77"/>
      <c r="AN431" s="77"/>
      <c r="AO431" s="77"/>
    </row>
    <row r="432" ht="13.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c r="AA432" s="77"/>
      <c r="AB432" s="77"/>
      <c r="AC432" s="77"/>
      <c r="AD432" s="77"/>
      <c r="AE432" s="77"/>
      <c r="AF432" s="77"/>
      <c r="AG432" s="77"/>
      <c r="AH432" s="77"/>
      <c r="AI432" s="77"/>
      <c r="AJ432" s="77"/>
      <c r="AK432" s="77"/>
      <c r="AL432" s="77"/>
      <c r="AM432" s="77"/>
      <c r="AN432" s="77"/>
      <c r="AO432" s="77"/>
    </row>
    <row r="433" ht="13.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c r="AA433" s="77"/>
      <c r="AB433" s="77"/>
      <c r="AC433" s="77"/>
      <c r="AD433" s="77"/>
      <c r="AE433" s="77"/>
      <c r="AF433" s="77"/>
      <c r="AG433" s="77"/>
      <c r="AH433" s="77"/>
      <c r="AI433" s="77"/>
      <c r="AJ433" s="77"/>
      <c r="AK433" s="77"/>
      <c r="AL433" s="77"/>
      <c r="AM433" s="77"/>
      <c r="AN433" s="77"/>
      <c r="AO433" s="77"/>
    </row>
    <row r="434" ht="13.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c r="AA434" s="77"/>
      <c r="AB434" s="77"/>
      <c r="AC434" s="77"/>
      <c r="AD434" s="77"/>
      <c r="AE434" s="77"/>
      <c r="AF434" s="77"/>
      <c r="AG434" s="77"/>
      <c r="AH434" s="77"/>
      <c r="AI434" s="77"/>
      <c r="AJ434" s="77"/>
      <c r="AK434" s="77"/>
      <c r="AL434" s="77"/>
      <c r="AM434" s="77"/>
      <c r="AN434" s="77"/>
      <c r="AO434" s="77"/>
    </row>
    <row r="435" ht="13.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c r="AA435" s="77"/>
      <c r="AB435" s="77"/>
      <c r="AC435" s="77"/>
      <c r="AD435" s="77"/>
      <c r="AE435" s="77"/>
      <c r="AF435" s="77"/>
      <c r="AG435" s="77"/>
      <c r="AH435" s="77"/>
      <c r="AI435" s="77"/>
      <c r="AJ435" s="77"/>
      <c r="AK435" s="77"/>
      <c r="AL435" s="77"/>
      <c r="AM435" s="77"/>
      <c r="AN435" s="77"/>
      <c r="AO435" s="77"/>
    </row>
    <row r="436" ht="13.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c r="AA436" s="77"/>
      <c r="AB436" s="77"/>
      <c r="AC436" s="77"/>
      <c r="AD436" s="77"/>
      <c r="AE436" s="77"/>
      <c r="AF436" s="77"/>
      <c r="AG436" s="77"/>
      <c r="AH436" s="77"/>
      <c r="AI436" s="77"/>
      <c r="AJ436" s="77"/>
      <c r="AK436" s="77"/>
      <c r="AL436" s="77"/>
      <c r="AM436" s="77"/>
      <c r="AN436" s="77"/>
      <c r="AO436" s="77"/>
    </row>
    <row r="437" ht="13.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c r="AA437" s="77"/>
      <c r="AB437" s="77"/>
      <c r="AC437" s="77"/>
      <c r="AD437" s="77"/>
      <c r="AE437" s="77"/>
      <c r="AF437" s="77"/>
      <c r="AG437" s="77"/>
      <c r="AH437" s="77"/>
      <c r="AI437" s="77"/>
      <c r="AJ437" s="77"/>
      <c r="AK437" s="77"/>
      <c r="AL437" s="77"/>
      <c r="AM437" s="77"/>
      <c r="AN437" s="77"/>
      <c r="AO437" s="77"/>
    </row>
    <row r="438" ht="13.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c r="AA438" s="77"/>
      <c r="AB438" s="77"/>
      <c r="AC438" s="77"/>
      <c r="AD438" s="77"/>
      <c r="AE438" s="77"/>
      <c r="AF438" s="77"/>
      <c r="AG438" s="77"/>
      <c r="AH438" s="77"/>
      <c r="AI438" s="77"/>
      <c r="AJ438" s="77"/>
      <c r="AK438" s="77"/>
      <c r="AL438" s="77"/>
      <c r="AM438" s="77"/>
      <c r="AN438" s="77"/>
      <c r="AO438" s="77"/>
    </row>
    <row r="439" ht="13.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c r="AA439" s="77"/>
      <c r="AB439" s="77"/>
      <c r="AC439" s="77"/>
      <c r="AD439" s="77"/>
      <c r="AE439" s="77"/>
      <c r="AF439" s="77"/>
      <c r="AG439" s="77"/>
      <c r="AH439" s="77"/>
      <c r="AI439" s="77"/>
      <c r="AJ439" s="77"/>
      <c r="AK439" s="77"/>
      <c r="AL439" s="77"/>
      <c r="AM439" s="77"/>
      <c r="AN439" s="77"/>
      <c r="AO439" s="77"/>
    </row>
    <row r="440" ht="13.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c r="AA440" s="77"/>
      <c r="AB440" s="77"/>
      <c r="AC440" s="77"/>
      <c r="AD440" s="77"/>
      <c r="AE440" s="77"/>
      <c r="AF440" s="77"/>
      <c r="AG440" s="77"/>
      <c r="AH440" s="77"/>
      <c r="AI440" s="77"/>
      <c r="AJ440" s="77"/>
      <c r="AK440" s="77"/>
      <c r="AL440" s="77"/>
      <c r="AM440" s="77"/>
      <c r="AN440" s="77"/>
      <c r="AO440" s="77"/>
    </row>
    <row r="441" ht="13.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c r="AA441" s="77"/>
      <c r="AB441" s="77"/>
      <c r="AC441" s="77"/>
      <c r="AD441" s="77"/>
      <c r="AE441" s="77"/>
      <c r="AF441" s="77"/>
      <c r="AG441" s="77"/>
      <c r="AH441" s="77"/>
      <c r="AI441" s="77"/>
      <c r="AJ441" s="77"/>
      <c r="AK441" s="77"/>
      <c r="AL441" s="77"/>
      <c r="AM441" s="77"/>
      <c r="AN441" s="77"/>
      <c r="AO441" s="77"/>
    </row>
    <row r="442" ht="13.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c r="AA442" s="77"/>
      <c r="AB442" s="77"/>
      <c r="AC442" s="77"/>
      <c r="AD442" s="77"/>
      <c r="AE442" s="77"/>
      <c r="AF442" s="77"/>
      <c r="AG442" s="77"/>
      <c r="AH442" s="77"/>
      <c r="AI442" s="77"/>
      <c r="AJ442" s="77"/>
      <c r="AK442" s="77"/>
      <c r="AL442" s="77"/>
      <c r="AM442" s="77"/>
      <c r="AN442" s="77"/>
      <c r="AO442" s="77"/>
    </row>
    <row r="443" ht="13.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c r="AA443" s="77"/>
      <c r="AB443" s="77"/>
      <c r="AC443" s="77"/>
      <c r="AD443" s="77"/>
      <c r="AE443" s="77"/>
      <c r="AF443" s="77"/>
      <c r="AG443" s="77"/>
      <c r="AH443" s="77"/>
      <c r="AI443" s="77"/>
      <c r="AJ443" s="77"/>
      <c r="AK443" s="77"/>
      <c r="AL443" s="77"/>
      <c r="AM443" s="77"/>
      <c r="AN443" s="77"/>
      <c r="AO443" s="77"/>
    </row>
    <row r="444" ht="13.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c r="AA444" s="77"/>
      <c r="AB444" s="77"/>
      <c r="AC444" s="77"/>
      <c r="AD444" s="77"/>
      <c r="AE444" s="77"/>
      <c r="AF444" s="77"/>
      <c r="AG444" s="77"/>
      <c r="AH444" s="77"/>
      <c r="AI444" s="77"/>
      <c r="AJ444" s="77"/>
      <c r="AK444" s="77"/>
      <c r="AL444" s="77"/>
      <c r="AM444" s="77"/>
      <c r="AN444" s="77"/>
      <c r="AO444" s="77"/>
    </row>
    <row r="445" ht="13.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c r="AA445" s="77"/>
      <c r="AB445" s="77"/>
      <c r="AC445" s="77"/>
      <c r="AD445" s="77"/>
      <c r="AE445" s="77"/>
      <c r="AF445" s="77"/>
      <c r="AG445" s="77"/>
      <c r="AH445" s="77"/>
      <c r="AI445" s="77"/>
      <c r="AJ445" s="77"/>
      <c r="AK445" s="77"/>
      <c r="AL445" s="77"/>
      <c r="AM445" s="77"/>
      <c r="AN445" s="77"/>
      <c r="AO445" s="77"/>
    </row>
    <row r="446" ht="13.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c r="AA446" s="77"/>
      <c r="AB446" s="77"/>
      <c r="AC446" s="77"/>
      <c r="AD446" s="77"/>
      <c r="AE446" s="77"/>
      <c r="AF446" s="77"/>
      <c r="AG446" s="77"/>
      <c r="AH446" s="77"/>
      <c r="AI446" s="77"/>
      <c r="AJ446" s="77"/>
      <c r="AK446" s="77"/>
      <c r="AL446" s="77"/>
      <c r="AM446" s="77"/>
      <c r="AN446" s="77"/>
      <c r="AO446" s="77"/>
    </row>
    <row r="447" ht="13.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c r="AA447" s="77"/>
      <c r="AB447" s="77"/>
      <c r="AC447" s="77"/>
      <c r="AD447" s="77"/>
      <c r="AE447" s="77"/>
      <c r="AF447" s="77"/>
      <c r="AG447" s="77"/>
      <c r="AH447" s="77"/>
      <c r="AI447" s="77"/>
      <c r="AJ447" s="77"/>
      <c r="AK447" s="77"/>
      <c r="AL447" s="77"/>
      <c r="AM447" s="77"/>
      <c r="AN447" s="77"/>
      <c r="AO447" s="77"/>
    </row>
    <row r="448" ht="13.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c r="AA448" s="77"/>
      <c r="AB448" s="77"/>
      <c r="AC448" s="77"/>
      <c r="AD448" s="77"/>
      <c r="AE448" s="77"/>
      <c r="AF448" s="77"/>
      <c r="AG448" s="77"/>
      <c r="AH448" s="77"/>
      <c r="AI448" s="77"/>
      <c r="AJ448" s="77"/>
      <c r="AK448" s="77"/>
      <c r="AL448" s="77"/>
      <c r="AM448" s="77"/>
      <c r="AN448" s="77"/>
      <c r="AO448" s="77"/>
    </row>
    <row r="449" ht="13.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c r="AA449" s="77"/>
      <c r="AB449" s="77"/>
      <c r="AC449" s="77"/>
      <c r="AD449" s="77"/>
      <c r="AE449" s="77"/>
      <c r="AF449" s="77"/>
      <c r="AG449" s="77"/>
      <c r="AH449" s="77"/>
      <c r="AI449" s="77"/>
      <c r="AJ449" s="77"/>
      <c r="AK449" s="77"/>
      <c r="AL449" s="77"/>
      <c r="AM449" s="77"/>
      <c r="AN449" s="77"/>
      <c r="AO449" s="77"/>
    </row>
    <row r="450" ht="13.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c r="AA450" s="77"/>
      <c r="AB450" s="77"/>
      <c r="AC450" s="77"/>
      <c r="AD450" s="77"/>
      <c r="AE450" s="77"/>
      <c r="AF450" s="77"/>
      <c r="AG450" s="77"/>
      <c r="AH450" s="77"/>
      <c r="AI450" s="77"/>
      <c r="AJ450" s="77"/>
      <c r="AK450" s="77"/>
      <c r="AL450" s="77"/>
      <c r="AM450" s="77"/>
      <c r="AN450" s="77"/>
      <c r="AO450" s="77"/>
    </row>
    <row r="451" ht="13.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c r="AA451" s="77"/>
      <c r="AB451" s="77"/>
      <c r="AC451" s="77"/>
      <c r="AD451" s="77"/>
      <c r="AE451" s="77"/>
      <c r="AF451" s="77"/>
      <c r="AG451" s="77"/>
      <c r="AH451" s="77"/>
      <c r="AI451" s="77"/>
      <c r="AJ451" s="77"/>
      <c r="AK451" s="77"/>
      <c r="AL451" s="77"/>
      <c r="AM451" s="77"/>
      <c r="AN451" s="77"/>
      <c r="AO451" s="77"/>
    </row>
    <row r="452" ht="13.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c r="AA452" s="77"/>
      <c r="AB452" s="77"/>
      <c r="AC452" s="77"/>
      <c r="AD452" s="77"/>
      <c r="AE452" s="77"/>
      <c r="AF452" s="77"/>
      <c r="AG452" s="77"/>
      <c r="AH452" s="77"/>
      <c r="AI452" s="77"/>
      <c r="AJ452" s="77"/>
      <c r="AK452" s="77"/>
      <c r="AL452" s="77"/>
      <c r="AM452" s="77"/>
      <c r="AN452" s="77"/>
      <c r="AO452" s="77"/>
    </row>
    <row r="453" ht="13.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c r="AA453" s="77"/>
      <c r="AB453" s="77"/>
      <c r="AC453" s="77"/>
      <c r="AD453" s="77"/>
      <c r="AE453" s="77"/>
      <c r="AF453" s="77"/>
      <c r="AG453" s="77"/>
      <c r="AH453" s="77"/>
      <c r="AI453" s="77"/>
      <c r="AJ453" s="77"/>
      <c r="AK453" s="77"/>
      <c r="AL453" s="77"/>
      <c r="AM453" s="77"/>
      <c r="AN453" s="77"/>
      <c r="AO453" s="77"/>
    </row>
    <row r="454" ht="13.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c r="AA454" s="77"/>
      <c r="AB454" s="77"/>
      <c r="AC454" s="77"/>
      <c r="AD454" s="77"/>
      <c r="AE454" s="77"/>
      <c r="AF454" s="77"/>
      <c r="AG454" s="77"/>
      <c r="AH454" s="77"/>
      <c r="AI454" s="77"/>
      <c r="AJ454" s="77"/>
      <c r="AK454" s="77"/>
      <c r="AL454" s="77"/>
      <c r="AM454" s="77"/>
      <c r="AN454" s="77"/>
      <c r="AO454" s="77"/>
    </row>
    <row r="455" ht="13.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c r="AA455" s="77"/>
      <c r="AB455" s="77"/>
      <c r="AC455" s="77"/>
      <c r="AD455" s="77"/>
      <c r="AE455" s="77"/>
      <c r="AF455" s="77"/>
      <c r="AG455" s="77"/>
      <c r="AH455" s="77"/>
      <c r="AI455" s="77"/>
      <c r="AJ455" s="77"/>
      <c r="AK455" s="77"/>
      <c r="AL455" s="77"/>
      <c r="AM455" s="77"/>
      <c r="AN455" s="77"/>
      <c r="AO455" s="77"/>
    </row>
    <row r="456" ht="13.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c r="AA456" s="77"/>
      <c r="AB456" s="77"/>
      <c r="AC456" s="77"/>
      <c r="AD456" s="77"/>
      <c r="AE456" s="77"/>
      <c r="AF456" s="77"/>
      <c r="AG456" s="77"/>
      <c r="AH456" s="77"/>
      <c r="AI456" s="77"/>
      <c r="AJ456" s="77"/>
      <c r="AK456" s="77"/>
      <c r="AL456" s="77"/>
      <c r="AM456" s="77"/>
      <c r="AN456" s="77"/>
      <c r="AO456" s="77"/>
    </row>
    <row r="457" ht="13.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c r="AA457" s="77"/>
      <c r="AB457" s="77"/>
      <c r="AC457" s="77"/>
      <c r="AD457" s="77"/>
      <c r="AE457" s="77"/>
      <c r="AF457" s="77"/>
      <c r="AG457" s="77"/>
      <c r="AH457" s="77"/>
      <c r="AI457" s="77"/>
      <c r="AJ457" s="77"/>
      <c r="AK457" s="77"/>
      <c r="AL457" s="77"/>
      <c r="AM457" s="77"/>
      <c r="AN457" s="77"/>
      <c r="AO457" s="77"/>
    </row>
    <row r="458" ht="13.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c r="AA458" s="77"/>
      <c r="AB458" s="77"/>
      <c r="AC458" s="77"/>
      <c r="AD458" s="77"/>
      <c r="AE458" s="77"/>
      <c r="AF458" s="77"/>
      <c r="AG458" s="77"/>
      <c r="AH458" s="77"/>
      <c r="AI458" s="77"/>
      <c r="AJ458" s="77"/>
      <c r="AK458" s="77"/>
      <c r="AL458" s="77"/>
      <c r="AM458" s="77"/>
      <c r="AN458" s="77"/>
      <c r="AO458" s="77"/>
    </row>
    <row r="459" ht="13.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c r="AA459" s="77"/>
      <c r="AB459" s="77"/>
      <c r="AC459" s="77"/>
      <c r="AD459" s="77"/>
      <c r="AE459" s="77"/>
      <c r="AF459" s="77"/>
      <c r="AG459" s="77"/>
      <c r="AH459" s="77"/>
      <c r="AI459" s="77"/>
      <c r="AJ459" s="77"/>
      <c r="AK459" s="77"/>
      <c r="AL459" s="77"/>
      <c r="AM459" s="77"/>
      <c r="AN459" s="77"/>
      <c r="AO459" s="77"/>
    </row>
    <row r="460" ht="13.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c r="AA460" s="77"/>
      <c r="AB460" s="77"/>
      <c r="AC460" s="77"/>
      <c r="AD460" s="77"/>
      <c r="AE460" s="77"/>
      <c r="AF460" s="77"/>
      <c r="AG460" s="77"/>
      <c r="AH460" s="77"/>
      <c r="AI460" s="77"/>
      <c r="AJ460" s="77"/>
      <c r="AK460" s="77"/>
      <c r="AL460" s="77"/>
      <c r="AM460" s="77"/>
      <c r="AN460" s="77"/>
      <c r="AO460" s="77"/>
    </row>
    <row r="461" ht="13.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c r="AA461" s="77"/>
      <c r="AB461" s="77"/>
      <c r="AC461" s="77"/>
      <c r="AD461" s="77"/>
      <c r="AE461" s="77"/>
      <c r="AF461" s="77"/>
      <c r="AG461" s="77"/>
      <c r="AH461" s="77"/>
      <c r="AI461" s="77"/>
      <c r="AJ461" s="77"/>
      <c r="AK461" s="77"/>
      <c r="AL461" s="77"/>
      <c r="AM461" s="77"/>
      <c r="AN461" s="77"/>
      <c r="AO461" s="77"/>
    </row>
    <row r="462" ht="13.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c r="AA462" s="77"/>
      <c r="AB462" s="77"/>
      <c r="AC462" s="77"/>
      <c r="AD462" s="77"/>
      <c r="AE462" s="77"/>
      <c r="AF462" s="77"/>
      <c r="AG462" s="77"/>
      <c r="AH462" s="77"/>
      <c r="AI462" s="77"/>
      <c r="AJ462" s="77"/>
      <c r="AK462" s="77"/>
      <c r="AL462" s="77"/>
      <c r="AM462" s="77"/>
      <c r="AN462" s="77"/>
      <c r="AO462" s="77"/>
    </row>
    <row r="463" ht="13.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c r="AA463" s="77"/>
      <c r="AB463" s="77"/>
      <c r="AC463" s="77"/>
      <c r="AD463" s="77"/>
      <c r="AE463" s="77"/>
      <c r="AF463" s="77"/>
      <c r="AG463" s="77"/>
      <c r="AH463" s="77"/>
      <c r="AI463" s="77"/>
      <c r="AJ463" s="77"/>
      <c r="AK463" s="77"/>
      <c r="AL463" s="77"/>
      <c r="AM463" s="77"/>
      <c r="AN463" s="77"/>
      <c r="AO463" s="77"/>
    </row>
    <row r="464" ht="13.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c r="AA464" s="77"/>
      <c r="AB464" s="77"/>
      <c r="AC464" s="77"/>
      <c r="AD464" s="77"/>
      <c r="AE464" s="77"/>
      <c r="AF464" s="77"/>
      <c r="AG464" s="77"/>
      <c r="AH464" s="77"/>
      <c r="AI464" s="77"/>
      <c r="AJ464" s="77"/>
      <c r="AK464" s="77"/>
      <c r="AL464" s="77"/>
      <c r="AM464" s="77"/>
      <c r="AN464" s="77"/>
      <c r="AO464" s="77"/>
    </row>
    <row r="465" ht="13.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c r="AA465" s="77"/>
      <c r="AB465" s="77"/>
      <c r="AC465" s="77"/>
      <c r="AD465" s="77"/>
      <c r="AE465" s="77"/>
      <c r="AF465" s="77"/>
      <c r="AG465" s="77"/>
      <c r="AH465" s="77"/>
      <c r="AI465" s="77"/>
      <c r="AJ465" s="77"/>
      <c r="AK465" s="77"/>
      <c r="AL465" s="77"/>
      <c r="AM465" s="77"/>
      <c r="AN465" s="77"/>
      <c r="AO465" s="77"/>
    </row>
    <row r="466" ht="13.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c r="AA466" s="77"/>
      <c r="AB466" s="77"/>
      <c r="AC466" s="77"/>
      <c r="AD466" s="77"/>
      <c r="AE466" s="77"/>
      <c r="AF466" s="77"/>
      <c r="AG466" s="77"/>
      <c r="AH466" s="77"/>
      <c r="AI466" s="77"/>
      <c r="AJ466" s="77"/>
      <c r="AK466" s="77"/>
      <c r="AL466" s="77"/>
      <c r="AM466" s="77"/>
      <c r="AN466" s="77"/>
      <c r="AO466" s="77"/>
    </row>
    <row r="467" ht="13.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c r="AA467" s="77"/>
      <c r="AB467" s="77"/>
      <c r="AC467" s="77"/>
      <c r="AD467" s="77"/>
      <c r="AE467" s="77"/>
      <c r="AF467" s="77"/>
      <c r="AG467" s="77"/>
      <c r="AH467" s="77"/>
      <c r="AI467" s="77"/>
      <c r="AJ467" s="77"/>
      <c r="AK467" s="77"/>
      <c r="AL467" s="77"/>
      <c r="AM467" s="77"/>
      <c r="AN467" s="77"/>
      <c r="AO467" s="77"/>
    </row>
    <row r="468" ht="13.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c r="AA468" s="77"/>
      <c r="AB468" s="77"/>
      <c r="AC468" s="77"/>
      <c r="AD468" s="77"/>
      <c r="AE468" s="77"/>
      <c r="AF468" s="77"/>
      <c r="AG468" s="77"/>
      <c r="AH468" s="77"/>
      <c r="AI468" s="77"/>
      <c r="AJ468" s="77"/>
      <c r="AK468" s="77"/>
      <c r="AL468" s="77"/>
      <c r="AM468" s="77"/>
      <c r="AN468" s="77"/>
      <c r="AO468" s="77"/>
    </row>
    <row r="469" ht="13.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c r="AA469" s="77"/>
      <c r="AB469" s="77"/>
      <c r="AC469" s="77"/>
      <c r="AD469" s="77"/>
      <c r="AE469" s="77"/>
      <c r="AF469" s="77"/>
      <c r="AG469" s="77"/>
      <c r="AH469" s="77"/>
      <c r="AI469" s="77"/>
      <c r="AJ469" s="77"/>
      <c r="AK469" s="77"/>
      <c r="AL469" s="77"/>
      <c r="AM469" s="77"/>
      <c r="AN469" s="77"/>
      <c r="AO469" s="77"/>
    </row>
    <row r="470" ht="13.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c r="AA470" s="77"/>
      <c r="AB470" s="77"/>
      <c r="AC470" s="77"/>
      <c r="AD470" s="77"/>
      <c r="AE470" s="77"/>
      <c r="AF470" s="77"/>
      <c r="AG470" s="77"/>
      <c r="AH470" s="77"/>
      <c r="AI470" s="77"/>
      <c r="AJ470" s="77"/>
      <c r="AK470" s="77"/>
      <c r="AL470" s="77"/>
      <c r="AM470" s="77"/>
      <c r="AN470" s="77"/>
      <c r="AO470" s="77"/>
    </row>
    <row r="471" ht="13.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c r="AA471" s="77"/>
      <c r="AB471" s="77"/>
      <c r="AC471" s="77"/>
      <c r="AD471" s="77"/>
      <c r="AE471" s="77"/>
      <c r="AF471" s="77"/>
      <c r="AG471" s="77"/>
      <c r="AH471" s="77"/>
      <c r="AI471" s="77"/>
      <c r="AJ471" s="77"/>
      <c r="AK471" s="77"/>
      <c r="AL471" s="77"/>
      <c r="AM471" s="77"/>
      <c r="AN471" s="77"/>
      <c r="AO471" s="77"/>
    </row>
    <row r="472" ht="13.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c r="AA472" s="77"/>
      <c r="AB472" s="77"/>
      <c r="AC472" s="77"/>
      <c r="AD472" s="77"/>
      <c r="AE472" s="77"/>
      <c r="AF472" s="77"/>
      <c r="AG472" s="77"/>
      <c r="AH472" s="77"/>
      <c r="AI472" s="77"/>
      <c r="AJ472" s="77"/>
      <c r="AK472" s="77"/>
      <c r="AL472" s="77"/>
      <c r="AM472" s="77"/>
      <c r="AN472" s="77"/>
      <c r="AO472" s="77"/>
    </row>
    <row r="473" ht="13.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c r="AA473" s="77"/>
      <c r="AB473" s="77"/>
      <c r="AC473" s="77"/>
      <c r="AD473" s="77"/>
      <c r="AE473" s="77"/>
      <c r="AF473" s="77"/>
      <c r="AG473" s="77"/>
      <c r="AH473" s="77"/>
      <c r="AI473" s="77"/>
      <c r="AJ473" s="77"/>
      <c r="AK473" s="77"/>
      <c r="AL473" s="77"/>
      <c r="AM473" s="77"/>
      <c r="AN473" s="77"/>
      <c r="AO473" s="77"/>
    </row>
    <row r="474" ht="13.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c r="AA474" s="77"/>
      <c r="AB474" s="77"/>
      <c r="AC474" s="77"/>
      <c r="AD474" s="77"/>
      <c r="AE474" s="77"/>
      <c r="AF474" s="77"/>
      <c r="AG474" s="77"/>
      <c r="AH474" s="77"/>
      <c r="AI474" s="77"/>
      <c r="AJ474" s="77"/>
      <c r="AK474" s="77"/>
      <c r="AL474" s="77"/>
      <c r="AM474" s="77"/>
      <c r="AN474" s="77"/>
      <c r="AO474" s="77"/>
    </row>
    <row r="475" ht="13.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c r="AA475" s="77"/>
      <c r="AB475" s="77"/>
      <c r="AC475" s="77"/>
      <c r="AD475" s="77"/>
      <c r="AE475" s="77"/>
      <c r="AF475" s="77"/>
      <c r="AG475" s="77"/>
      <c r="AH475" s="77"/>
      <c r="AI475" s="77"/>
      <c r="AJ475" s="77"/>
      <c r="AK475" s="77"/>
      <c r="AL475" s="77"/>
      <c r="AM475" s="77"/>
      <c r="AN475" s="77"/>
      <c r="AO475" s="77"/>
    </row>
    <row r="476" ht="13.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c r="AA476" s="77"/>
      <c r="AB476" s="77"/>
      <c r="AC476" s="77"/>
      <c r="AD476" s="77"/>
      <c r="AE476" s="77"/>
      <c r="AF476" s="77"/>
      <c r="AG476" s="77"/>
      <c r="AH476" s="77"/>
      <c r="AI476" s="77"/>
      <c r="AJ476" s="77"/>
      <c r="AK476" s="77"/>
      <c r="AL476" s="77"/>
      <c r="AM476" s="77"/>
      <c r="AN476" s="77"/>
      <c r="AO476" s="77"/>
    </row>
    <row r="477" ht="13.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c r="AA477" s="77"/>
      <c r="AB477" s="77"/>
      <c r="AC477" s="77"/>
      <c r="AD477" s="77"/>
      <c r="AE477" s="77"/>
      <c r="AF477" s="77"/>
      <c r="AG477" s="77"/>
      <c r="AH477" s="77"/>
      <c r="AI477" s="77"/>
      <c r="AJ477" s="77"/>
      <c r="AK477" s="77"/>
      <c r="AL477" s="77"/>
      <c r="AM477" s="77"/>
      <c r="AN477" s="77"/>
      <c r="AO477" s="77"/>
    </row>
    <row r="478" ht="13.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c r="AA478" s="77"/>
      <c r="AB478" s="77"/>
      <c r="AC478" s="77"/>
      <c r="AD478" s="77"/>
      <c r="AE478" s="77"/>
      <c r="AF478" s="77"/>
      <c r="AG478" s="77"/>
      <c r="AH478" s="77"/>
      <c r="AI478" s="77"/>
      <c r="AJ478" s="77"/>
      <c r="AK478" s="77"/>
      <c r="AL478" s="77"/>
      <c r="AM478" s="77"/>
      <c r="AN478" s="77"/>
      <c r="AO478" s="77"/>
    </row>
    <row r="479" ht="13.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c r="AA479" s="77"/>
      <c r="AB479" s="77"/>
      <c r="AC479" s="77"/>
      <c r="AD479" s="77"/>
      <c r="AE479" s="77"/>
      <c r="AF479" s="77"/>
      <c r="AG479" s="77"/>
      <c r="AH479" s="77"/>
      <c r="AI479" s="77"/>
      <c r="AJ479" s="77"/>
      <c r="AK479" s="77"/>
      <c r="AL479" s="77"/>
      <c r="AM479" s="77"/>
      <c r="AN479" s="77"/>
      <c r="AO479" s="77"/>
    </row>
    <row r="480" ht="13.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c r="AA480" s="77"/>
      <c r="AB480" s="77"/>
      <c r="AC480" s="77"/>
      <c r="AD480" s="77"/>
      <c r="AE480" s="77"/>
      <c r="AF480" s="77"/>
      <c r="AG480" s="77"/>
      <c r="AH480" s="77"/>
      <c r="AI480" s="77"/>
      <c r="AJ480" s="77"/>
      <c r="AK480" s="77"/>
      <c r="AL480" s="77"/>
      <c r="AM480" s="77"/>
      <c r="AN480" s="77"/>
      <c r="AO480" s="77"/>
    </row>
    <row r="481" ht="13.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c r="AA481" s="77"/>
      <c r="AB481" s="77"/>
      <c r="AC481" s="77"/>
      <c r="AD481" s="77"/>
      <c r="AE481" s="77"/>
      <c r="AF481" s="77"/>
      <c r="AG481" s="77"/>
      <c r="AH481" s="77"/>
      <c r="AI481" s="77"/>
      <c r="AJ481" s="77"/>
      <c r="AK481" s="77"/>
      <c r="AL481" s="77"/>
      <c r="AM481" s="77"/>
      <c r="AN481" s="77"/>
      <c r="AO481" s="77"/>
    </row>
    <row r="482" ht="13.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c r="AA482" s="77"/>
      <c r="AB482" s="77"/>
      <c r="AC482" s="77"/>
      <c r="AD482" s="77"/>
      <c r="AE482" s="77"/>
      <c r="AF482" s="77"/>
      <c r="AG482" s="77"/>
      <c r="AH482" s="77"/>
      <c r="AI482" s="77"/>
      <c r="AJ482" s="77"/>
      <c r="AK482" s="77"/>
      <c r="AL482" s="77"/>
      <c r="AM482" s="77"/>
      <c r="AN482" s="77"/>
      <c r="AO482" s="77"/>
    </row>
    <row r="483" ht="13.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c r="AA483" s="77"/>
      <c r="AB483" s="77"/>
      <c r="AC483" s="77"/>
      <c r="AD483" s="77"/>
      <c r="AE483" s="77"/>
      <c r="AF483" s="77"/>
      <c r="AG483" s="77"/>
      <c r="AH483" s="77"/>
      <c r="AI483" s="77"/>
      <c r="AJ483" s="77"/>
      <c r="AK483" s="77"/>
      <c r="AL483" s="77"/>
      <c r="AM483" s="77"/>
      <c r="AN483" s="77"/>
      <c r="AO483" s="77"/>
    </row>
    <row r="484" ht="13.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c r="AA484" s="77"/>
      <c r="AB484" s="77"/>
      <c r="AC484" s="77"/>
      <c r="AD484" s="77"/>
      <c r="AE484" s="77"/>
      <c r="AF484" s="77"/>
      <c r="AG484" s="77"/>
      <c r="AH484" s="77"/>
      <c r="AI484" s="77"/>
      <c r="AJ484" s="77"/>
      <c r="AK484" s="77"/>
      <c r="AL484" s="77"/>
      <c r="AM484" s="77"/>
      <c r="AN484" s="77"/>
      <c r="AO484" s="77"/>
    </row>
    <row r="485" ht="13.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c r="AA485" s="77"/>
      <c r="AB485" s="77"/>
      <c r="AC485" s="77"/>
      <c r="AD485" s="77"/>
      <c r="AE485" s="77"/>
      <c r="AF485" s="77"/>
      <c r="AG485" s="77"/>
      <c r="AH485" s="77"/>
      <c r="AI485" s="77"/>
      <c r="AJ485" s="77"/>
      <c r="AK485" s="77"/>
      <c r="AL485" s="77"/>
      <c r="AM485" s="77"/>
      <c r="AN485" s="77"/>
      <c r="AO485" s="77"/>
    </row>
    <row r="486" ht="13.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c r="AA486" s="77"/>
      <c r="AB486" s="77"/>
      <c r="AC486" s="77"/>
      <c r="AD486" s="77"/>
      <c r="AE486" s="77"/>
      <c r="AF486" s="77"/>
      <c r="AG486" s="77"/>
      <c r="AH486" s="77"/>
      <c r="AI486" s="77"/>
      <c r="AJ486" s="77"/>
      <c r="AK486" s="77"/>
      <c r="AL486" s="77"/>
      <c r="AM486" s="77"/>
      <c r="AN486" s="77"/>
      <c r="AO486" s="77"/>
    </row>
    <row r="487" ht="13.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c r="AA487" s="77"/>
      <c r="AB487" s="77"/>
      <c r="AC487" s="77"/>
      <c r="AD487" s="77"/>
      <c r="AE487" s="77"/>
      <c r="AF487" s="77"/>
      <c r="AG487" s="77"/>
      <c r="AH487" s="77"/>
      <c r="AI487" s="77"/>
      <c r="AJ487" s="77"/>
      <c r="AK487" s="77"/>
      <c r="AL487" s="77"/>
      <c r="AM487" s="77"/>
      <c r="AN487" s="77"/>
      <c r="AO487" s="77"/>
    </row>
    <row r="488" ht="13.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c r="AA488" s="77"/>
      <c r="AB488" s="77"/>
      <c r="AC488" s="77"/>
      <c r="AD488" s="77"/>
      <c r="AE488" s="77"/>
      <c r="AF488" s="77"/>
      <c r="AG488" s="77"/>
      <c r="AH488" s="77"/>
      <c r="AI488" s="77"/>
      <c r="AJ488" s="77"/>
      <c r="AK488" s="77"/>
      <c r="AL488" s="77"/>
      <c r="AM488" s="77"/>
      <c r="AN488" s="77"/>
      <c r="AO488" s="77"/>
    </row>
    <row r="489" ht="13.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c r="AA489" s="77"/>
      <c r="AB489" s="77"/>
      <c r="AC489" s="77"/>
      <c r="AD489" s="77"/>
      <c r="AE489" s="77"/>
      <c r="AF489" s="77"/>
      <c r="AG489" s="77"/>
      <c r="AH489" s="77"/>
      <c r="AI489" s="77"/>
      <c r="AJ489" s="77"/>
      <c r="AK489" s="77"/>
      <c r="AL489" s="77"/>
      <c r="AM489" s="77"/>
      <c r="AN489" s="77"/>
      <c r="AO489" s="77"/>
    </row>
    <row r="490" ht="13.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c r="AA490" s="77"/>
      <c r="AB490" s="77"/>
      <c r="AC490" s="77"/>
      <c r="AD490" s="77"/>
      <c r="AE490" s="77"/>
      <c r="AF490" s="77"/>
      <c r="AG490" s="77"/>
      <c r="AH490" s="77"/>
      <c r="AI490" s="77"/>
      <c r="AJ490" s="77"/>
      <c r="AK490" s="77"/>
      <c r="AL490" s="77"/>
      <c r="AM490" s="77"/>
      <c r="AN490" s="77"/>
      <c r="AO490" s="77"/>
    </row>
    <row r="491" ht="13.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c r="AA491" s="77"/>
      <c r="AB491" s="77"/>
      <c r="AC491" s="77"/>
      <c r="AD491" s="77"/>
      <c r="AE491" s="77"/>
      <c r="AF491" s="77"/>
      <c r="AG491" s="77"/>
      <c r="AH491" s="77"/>
      <c r="AI491" s="77"/>
      <c r="AJ491" s="77"/>
      <c r="AK491" s="77"/>
      <c r="AL491" s="77"/>
      <c r="AM491" s="77"/>
      <c r="AN491" s="77"/>
      <c r="AO491" s="77"/>
    </row>
    <row r="492" ht="13.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c r="AA492" s="77"/>
      <c r="AB492" s="77"/>
      <c r="AC492" s="77"/>
      <c r="AD492" s="77"/>
      <c r="AE492" s="77"/>
      <c r="AF492" s="77"/>
      <c r="AG492" s="77"/>
      <c r="AH492" s="77"/>
      <c r="AI492" s="77"/>
      <c r="AJ492" s="77"/>
      <c r="AK492" s="77"/>
      <c r="AL492" s="77"/>
      <c r="AM492" s="77"/>
      <c r="AN492" s="77"/>
      <c r="AO492" s="77"/>
    </row>
    <row r="493" ht="13.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c r="AA493" s="77"/>
      <c r="AB493" s="77"/>
      <c r="AC493" s="77"/>
      <c r="AD493" s="77"/>
      <c r="AE493" s="77"/>
      <c r="AF493" s="77"/>
      <c r="AG493" s="77"/>
      <c r="AH493" s="77"/>
      <c r="AI493" s="77"/>
      <c r="AJ493" s="77"/>
      <c r="AK493" s="77"/>
      <c r="AL493" s="77"/>
      <c r="AM493" s="77"/>
      <c r="AN493" s="77"/>
      <c r="AO493" s="77"/>
    </row>
    <row r="494" ht="13.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c r="AA494" s="77"/>
      <c r="AB494" s="77"/>
      <c r="AC494" s="77"/>
      <c r="AD494" s="77"/>
      <c r="AE494" s="77"/>
      <c r="AF494" s="77"/>
      <c r="AG494" s="77"/>
      <c r="AH494" s="77"/>
      <c r="AI494" s="77"/>
      <c r="AJ494" s="77"/>
      <c r="AK494" s="77"/>
      <c r="AL494" s="77"/>
      <c r="AM494" s="77"/>
      <c r="AN494" s="77"/>
      <c r="AO494" s="77"/>
    </row>
    <row r="495" ht="13.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c r="AA495" s="77"/>
      <c r="AB495" s="77"/>
      <c r="AC495" s="77"/>
      <c r="AD495" s="77"/>
      <c r="AE495" s="77"/>
      <c r="AF495" s="77"/>
      <c r="AG495" s="77"/>
      <c r="AH495" s="77"/>
      <c r="AI495" s="77"/>
      <c r="AJ495" s="77"/>
      <c r="AK495" s="77"/>
      <c r="AL495" s="77"/>
      <c r="AM495" s="77"/>
      <c r="AN495" s="77"/>
      <c r="AO495" s="77"/>
    </row>
    <row r="496" ht="13.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c r="AA496" s="77"/>
      <c r="AB496" s="77"/>
      <c r="AC496" s="77"/>
      <c r="AD496" s="77"/>
      <c r="AE496" s="77"/>
      <c r="AF496" s="77"/>
      <c r="AG496" s="77"/>
      <c r="AH496" s="77"/>
      <c r="AI496" s="77"/>
      <c r="AJ496" s="77"/>
      <c r="AK496" s="77"/>
      <c r="AL496" s="77"/>
      <c r="AM496" s="77"/>
      <c r="AN496" s="77"/>
      <c r="AO496" s="77"/>
    </row>
    <row r="497" ht="13.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c r="AA497" s="77"/>
      <c r="AB497" s="77"/>
      <c r="AC497" s="77"/>
      <c r="AD497" s="77"/>
      <c r="AE497" s="77"/>
      <c r="AF497" s="77"/>
      <c r="AG497" s="77"/>
      <c r="AH497" s="77"/>
      <c r="AI497" s="77"/>
      <c r="AJ497" s="77"/>
      <c r="AK497" s="77"/>
      <c r="AL497" s="77"/>
      <c r="AM497" s="77"/>
      <c r="AN497" s="77"/>
      <c r="AO497" s="77"/>
    </row>
    <row r="498" ht="13.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c r="AA498" s="77"/>
      <c r="AB498" s="77"/>
      <c r="AC498" s="77"/>
      <c r="AD498" s="77"/>
      <c r="AE498" s="77"/>
      <c r="AF498" s="77"/>
      <c r="AG498" s="77"/>
      <c r="AH498" s="77"/>
      <c r="AI498" s="77"/>
      <c r="AJ498" s="77"/>
      <c r="AK498" s="77"/>
      <c r="AL498" s="77"/>
      <c r="AM498" s="77"/>
      <c r="AN498" s="77"/>
      <c r="AO498" s="77"/>
    </row>
    <row r="499" ht="13.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c r="AA499" s="77"/>
      <c r="AB499" s="77"/>
      <c r="AC499" s="77"/>
      <c r="AD499" s="77"/>
      <c r="AE499" s="77"/>
      <c r="AF499" s="77"/>
      <c r="AG499" s="77"/>
      <c r="AH499" s="77"/>
      <c r="AI499" s="77"/>
      <c r="AJ499" s="77"/>
      <c r="AK499" s="77"/>
      <c r="AL499" s="77"/>
      <c r="AM499" s="77"/>
      <c r="AN499" s="77"/>
      <c r="AO499" s="77"/>
    </row>
    <row r="500" ht="13.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c r="AA500" s="77"/>
      <c r="AB500" s="77"/>
      <c r="AC500" s="77"/>
      <c r="AD500" s="77"/>
      <c r="AE500" s="77"/>
      <c r="AF500" s="77"/>
      <c r="AG500" s="77"/>
      <c r="AH500" s="77"/>
      <c r="AI500" s="77"/>
      <c r="AJ500" s="77"/>
      <c r="AK500" s="77"/>
      <c r="AL500" s="77"/>
      <c r="AM500" s="77"/>
      <c r="AN500" s="77"/>
      <c r="AO500" s="77"/>
    </row>
    <row r="501" ht="13.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c r="AA501" s="77"/>
      <c r="AB501" s="77"/>
      <c r="AC501" s="77"/>
      <c r="AD501" s="77"/>
      <c r="AE501" s="77"/>
      <c r="AF501" s="77"/>
      <c r="AG501" s="77"/>
      <c r="AH501" s="77"/>
      <c r="AI501" s="77"/>
      <c r="AJ501" s="77"/>
      <c r="AK501" s="77"/>
      <c r="AL501" s="77"/>
      <c r="AM501" s="77"/>
      <c r="AN501" s="77"/>
      <c r="AO501" s="77"/>
    </row>
    <row r="502" ht="13.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c r="AA502" s="77"/>
      <c r="AB502" s="77"/>
      <c r="AC502" s="77"/>
      <c r="AD502" s="77"/>
      <c r="AE502" s="77"/>
      <c r="AF502" s="77"/>
      <c r="AG502" s="77"/>
      <c r="AH502" s="77"/>
      <c r="AI502" s="77"/>
      <c r="AJ502" s="77"/>
      <c r="AK502" s="77"/>
      <c r="AL502" s="77"/>
      <c r="AM502" s="77"/>
      <c r="AN502" s="77"/>
      <c r="AO502" s="77"/>
    </row>
    <row r="503" ht="13.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c r="AA503" s="77"/>
      <c r="AB503" s="77"/>
      <c r="AC503" s="77"/>
      <c r="AD503" s="77"/>
      <c r="AE503" s="77"/>
      <c r="AF503" s="77"/>
      <c r="AG503" s="77"/>
      <c r="AH503" s="77"/>
      <c r="AI503" s="77"/>
      <c r="AJ503" s="77"/>
      <c r="AK503" s="77"/>
      <c r="AL503" s="77"/>
      <c r="AM503" s="77"/>
      <c r="AN503" s="77"/>
      <c r="AO503" s="77"/>
    </row>
    <row r="504" ht="13.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c r="AA504" s="77"/>
      <c r="AB504" s="77"/>
      <c r="AC504" s="77"/>
      <c r="AD504" s="77"/>
      <c r="AE504" s="77"/>
      <c r="AF504" s="77"/>
      <c r="AG504" s="77"/>
      <c r="AH504" s="77"/>
      <c r="AI504" s="77"/>
      <c r="AJ504" s="77"/>
      <c r="AK504" s="77"/>
      <c r="AL504" s="77"/>
      <c r="AM504" s="77"/>
      <c r="AN504" s="77"/>
      <c r="AO504" s="77"/>
    </row>
    <row r="505" ht="13.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c r="AA505" s="77"/>
      <c r="AB505" s="77"/>
      <c r="AC505" s="77"/>
      <c r="AD505" s="77"/>
      <c r="AE505" s="77"/>
      <c r="AF505" s="77"/>
      <c r="AG505" s="77"/>
      <c r="AH505" s="77"/>
      <c r="AI505" s="77"/>
      <c r="AJ505" s="77"/>
      <c r="AK505" s="77"/>
      <c r="AL505" s="77"/>
      <c r="AM505" s="77"/>
      <c r="AN505" s="77"/>
      <c r="AO505" s="77"/>
    </row>
    <row r="506" ht="13.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c r="AA506" s="77"/>
      <c r="AB506" s="77"/>
      <c r="AC506" s="77"/>
      <c r="AD506" s="77"/>
      <c r="AE506" s="77"/>
      <c r="AF506" s="77"/>
      <c r="AG506" s="77"/>
      <c r="AH506" s="77"/>
      <c r="AI506" s="77"/>
      <c r="AJ506" s="77"/>
      <c r="AK506" s="77"/>
      <c r="AL506" s="77"/>
      <c r="AM506" s="77"/>
      <c r="AN506" s="77"/>
      <c r="AO506" s="77"/>
    </row>
    <row r="507" ht="13.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c r="AA507" s="77"/>
      <c r="AB507" s="77"/>
      <c r="AC507" s="77"/>
      <c r="AD507" s="77"/>
      <c r="AE507" s="77"/>
      <c r="AF507" s="77"/>
      <c r="AG507" s="77"/>
      <c r="AH507" s="77"/>
      <c r="AI507" s="77"/>
      <c r="AJ507" s="77"/>
      <c r="AK507" s="77"/>
      <c r="AL507" s="77"/>
      <c r="AM507" s="77"/>
      <c r="AN507" s="77"/>
      <c r="AO507" s="77"/>
    </row>
    <row r="508" ht="13.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c r="AA508" s="77"/>
      <c r="AB508" s="77"/>
      <c r="AC508" s="77"/>
      <c r="AD508" s="77"/>
      <c r="AE508" s="77"/>
      <c r="AF508" s="77"/>
      <c r="AG508" s="77"/>
      <c r="AH508" s="77"/>
      <c r="AI508" s="77"/>
      <c r="AJ508" s="77"/>
      <c r="AK508" s="77"/>
      <c r="AL508" s="77"/>
      <c r="AM508" s="77"/>
      <c r="AN508" s="77"/>
      <c r="AO508" s="77"/>
    </row>
    <row r="509" ht="13.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c r="AA509" s="77"/>
      <c r="AB509" s="77"/>
      <c r="AC509" s="77"/>
      <c r="AD509" s="77"/>
      <c r="AE509" s="77"/>
      <c r="AF509" s="77"/>
      <c r="AG509" s="77"/>
      <c r="AH509" s="77"/>
      <c r="AI509" s="77"/>
      <c r="AJ509" s="77"/>
      <c r="AK509" s="77"/>
      <c r="AL509" s="77"/>
      <c r="AM509" s="77"/>
      <c r="AN509" s="77"/>
      <c r="AO509" s="77"/>
    </row>
    <row r="510" ht="13.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c r="AA510" s="77"/>
      <c r="AB510" s="77"/>
      <c r="AC510" s="77"/>
      <c r="AD510" s="77"/>
      <c r="AE510" s="77"/>
      <c r="AF510" s="77"/>
      <c r="AG510" s="77"/>
      <c r="AH510" s="77"/>
      <c r="AI510" s="77"/>
      <c r="AJ510" s="77"/>
      <c r="AK510" s="77"/>
      <c r="AL510" s="77"/>
      <c r="AM510" s="77"/>
      <c r="AN510" s="77"/>
      <c r="AO510" s="77"/>
    </row>
    <row r="511" ht="13.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c r="AA511" s="77"/>
      <c r="AB511" s="77"/>
      <c r="AC511" s="77"/>
      <c r="AD511" s="77"/>
      <c r="AE511" s="77"/>
      <c r="AF511" s="77"/>
      <c r="AG511" s="77"/>
      <c r="AH511" s="77"/>
      <c r="AI511" s="77"/>
      <c r="AJ511" s="77"/>
      <c r="AK511" s="77"/>
      <c r="AL511" s="77"/>
      <c r="AM511" s="77"/>
      <c r="AN511" s="77"/>
      <c r="AO511" s="77"/>
    </row>
    <row r="512" ht="13.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c r="AA512" s="77"/>
      <c r="AB512" s="77"/>
      <c r="AC512" s="77"/>
      <c r="AD512" s="77"/>
      <c r="AE512" s="77"/>
      <c r="AF512" s="77"/>
      <c r="AG512" s="77"/>
      <c r="AH512" s="77"/>
      <c r="AI512" s="77"/>
      <c r="AJ512" s="77"/>
      <c r="AK512" s="77"/>
      <c r="AL512" s="77"/>
      <c r="AM512" s="77"/>
      <c r="AN512" s="77"/>
      <c r="AO512" s="77"/>
    </row>
    <row r="513" ht="13.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c r="AA513" s="77"/>
      <c r="AB513" s="77"/>
      <c r="AC513" s="77"/>
      <c r="AD513" s="77"/>
      <c r="AE513" s="77"/>
      <c r="AF513" s="77"/>
      <c r="AG513" s="77"/>
      <c r="AH513" s="77"/>
      <c r="AI513" s="77"/>
      <c r="AJ513" s="77"/>
      <c r="AK513" s="77"/>
      <c r="AL513" s="77"/>
      <c r="AM513" s="77"/>
      <c r="AN513" s="77"/>
      <c r="AO513" s="77"/>
    </row>
    <row r="514" ht="13.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c r="AA514" s="77"/>
      <c r="AB514" s="77"/>
      <c r="AC514" s="77"/>
      <c r="AD514" s="77"/>
      <c r="AE514" s="77"/>
      <c r="AF514" s="77"/>
      <c r="AG514" s="77"/>
      <c r="AH514" s="77"/>
      <c r="AI514" s="77"/>
      <c r="AJ514" s="77"/>
      <c r="AK514" s="77"/>
      <c r="AL514" s="77"/>
      <c r="AM514" s="77"/>
      <c r="AN514" s="77"/>
      <c r="AO514" s="77"/>
    </row>
    <row r="515" ht="13.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c r="AA515" s="77"/>
      <c r="AB515" s="77"/>
      <c r="AC515" s="77"/>
      <c r="AD515" s="77"/>
      <c r="AE515" s="77"/>
      <c r="AF515" s="77"/>
      <c r="AG515" s="77"/>
      <c r="AH515" s="77"/>
      <c r="AI515" s="77"/>
      <c r="AJ515" s="77"/>
      <c r="AK515" s="77"/>
      <c r="AL515" s="77"/>
      <c r="AM515" s="77"/>
      <c r="AN515" s="77"/>
      <c r="AO515" s="77"/>
    </row>
    <row r="516" ht="13.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c r="AA516" s="77"/>
      <c r="AB516" s="77"/>
      <c r="AC516" s="77"/>
      <c r="AD516" s="77"/>
      <c r="AE516" s="77"/>
      <c r="AF516" s="77"/>
      <c r="AG516" s="77"/>
      <c r="AH516" s="77"/>
      <c r="AI516" s="77"/>
      <c r="AJ516" s="77"/>
      <c r="AK516" s="77"/>
      <c r="AL516" s="77"/>
      <c r="AM516" s="77"/>
      <c r="AN516" s="77"/>
      <c r="AO516" s="77"/>
    </row>
    <row r="517" ht="13.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row>
    <row r="518" ht="13.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row>
    <row r="519" ht="13.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row>
    <row r="520" ht="13.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c r="AA520" s="77"/>
      <c r="AB520" s="77"/>
      <c r="AC520" s="77"/>
      <c r="AD520" s="77"/>
      <c r="AE520" s="77"/>
      <c r="AF520" s="77"/>
      <c r="AG520" s="77"/>
      <c r="AH520" s="77"/>
      <c r="AI520" s="77"/>
      <c r="AJ520" s="77"/>
      <c r="AK520" s="77"/>
      <c r="AL520" s="77"/>
      <c r="AM520" s="77"/>
      <c r="AN520" s="77"/>
      <c r="AO520" s="77"/>
    </row>
    <row r="521" ht="13.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row>
    <row r="522" ht="13.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row>
    <row r="523" ht="13.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row>
    <row r="524" ht="13.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row>
    <row r="525" ht="13.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c r="AA525" s="77"/>
      <c r="AB525" s="77"/>
      <c r="AC525" s="77"/>
      <c r="AD525" s="77"/>
      <c r="AE525" s="77"/>
      <c r="AF525" s="77"/>
      <c r="AG525" s="77"/>
      <c r="AH525" s="77"/>
      <c r="AI525" s="77"/>
      <c r="AJ525" s="77"/>
      <c r="AK525" s="77"/>
      <c r="AL525" s="77"/>
      <c r="AM525" s="77"/>
      <c r="AN525" s="77"/>
      <c r="AO525" s="77"/>
    </row>
    <row r="526" ht="13.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row>
    <row r="527" ht="13.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row>
    <row r="528" ht="13.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row>
    <row r="529" ht="13.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c r="AA529" s="77"/>
      <c r="AB529" s="77"/>
      <c r="AC529" s="77"/>
      <c r="AD529" s="77"/>
      <c r="AE529" s="77"/>
      <c r="AF529" s="77"/>
      <c r="AG529" s="77"/>
      <c r="AH529" s="77"/>
      <c r="AI529" s="77"/>
      <c r="AJ529" s="77"/>
      <c r="AK529" s="77"/>
      <c r="AL529" s="77"/>
      <c r="AM529" s="77"/>
      <c r="AN529" s="77"/>
      <c r="AO529" s="77"/>
    </row>
    <row r="530" ht="13.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row>
    <row r="531" ht="13.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c r="AA531" s="77"/>
      <c r="AB531" s="77"/>
      <c r="AC531" s="77"/>
      <c r="AD531" s="77"/>
      <c r="AE531" s="77"/>
      <c r="AF531" s="77"/>
      <c r="AG531" s="77"/>
      <c r="AH531" s="77"/>
      <c r="AI531" s="77"/>
      <c r="AJ531" s="77"/>
      <c r="AK531" s="77"/>
      <c r="AL531" s="77"/>
      <c r="AM531" s="77"/>
      <c r="AN531" s="77"/>
      <c r="AO531" s="77"/>
    </row>
    <row r="532" ht="13.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c r="AA532" s="77"/>
      <c r="AB532" s="77"/>
      <c r="AC532" s="77"/>
      <c r="AD532" s="77"/>
      <c r="AE532" s="77"/>
      <c r="AF532" s="77"/>
      <c r="AG532" s="77"/>
      <c r="AH532" s="77"/>
      <c r="AI532" s="77"/>
      <c r="AJ532" s="77"/>
      <c r="AK532" s="77"/>
      <c r="AL532" s="77"/>
      <c r="AM532" s="77"/>
      <c r="AN532" s="77"/>
      <c r="AO532" s="77"/>
    </row>
    <row r="533" ht="13.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c r="AA533" s="77"/>
      <c r="AB533" s="77"/>
      <c r="AC533" s="77"/>
      <c r="AD533" s="77"/>
      <c r="AE533" s="77"/>
      <c r="AF533" s="77"/>
      <c r="AG533" s="77"/>
      <c r="AH533" s="77"/>
      <c r="AI533" s="77"/>
      <c r="AJ533" s="77"/>
      <c r="AK533" s="77"/>
      <c r="AL533" s="77"/>
      <c r="AM533" s="77"/>
      <c r="AN533" s="77"/>
      <c r="AO533" s="77"/>
    </row>
    <row r="534" ht="13.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row>
    <row r="535" ht="13.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row>
    <row r="536" ht="13.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c r="AA536" s="77"/>
      <c r="AB536" s="77"/>
      <c r="AC536" s="77"/>
      <c r="AD536" s="77"/>
      <c r="AE536" s="77"/>
      <c r="AF536" s="77"/>
      <c r="AG536" s="77"/>
      <c r="AH536" s="77"/>
      <c r="AI536" s="77"/>
      <c r="AJ536" s="77"/>
      <c r="AK536" s="77"/>
      <c r="AL536" s="77"/>
      <c r="AM536" s="77"/>
      <c r="AN536" s="77"/>
      <c r="AO536" s="77"/>
    </row>
    <row r="537" ht="13.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c r="AA537" s="77"/>
      <c r="AB537" s="77"/>
      <c r="AC537" s="77"/>
      <c r="AD537" s="77"/>
      <c r="AE537" s="77"/>
      <c r="AF537" s="77"/>
      <c r="AG537" s="77"/>
      <c r="AH537" s="77"/>
      <c r="AI537" s="77"/>
      <c r="AJ537" s="77"/>
      <c r="AK537" s="77"/>
      <c r="AL537" s="77"/>
      <c r="AM537" s="77"/>
      <c r="AN537" s="77"/>
      <c r="AO537" s="77"/>
    </row>
    <row r="538" ht="13.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c r="AA538" s="77"/>
      <c r="AB538" s="77"/>
      <c r="AC538" s="77"/>
      <c r="AD538" s="77"/>
      <c r="AE538" s="77"/>
      <c r="AF538" s="77"/>
      <c r="AG538" s="77"/>
      <c r="AH538" s="77"/>
      <c r="AI538" s="77"/>
      <c r="AJ538" s="77"/>
      <c r="AK538" s="77"/>
      <c r="AL538" s="77"/>
      <c r="AM538" s="77"/>
      <c r="AN538" s="77"/>
      <c r="AO538" s="77"/>
    </row>
    <row r="539" ht="13.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c r="AA539" s="77"/>
      <c r="AB539" s="77"/>
      <c r="AC539" s="77"/>
      <c r="AD539" s="77"/>
      <c r="AE539" s="77"/>
      <c r="AF539" s="77"/>
      <c r="AG539" s="77"/>
      <c r="AH539" s="77"/>
      <c r="AI539" s="77"/>
      <c r="AJ539" s="77"/>
      <c r="AK539" s="77"/>
      <c r="AL539" s="77"/>
      <c r="AM539" s="77"/>
      <c r="AN539" s="77"/>
      <c r="AO539" s="77"/>
    </row>
    <row r="540" ht="13.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c r="AA540" s="77"/>
      <c r="AB540" s="77"/>
      <c r="AC540" s="77"/>
      <c r="AD540" s="77"/>
      <c r="AE540" s="77"/>
      <c r="AF540" s="77"/>
      <c r="AG540" s="77"/>
      <c r="AH540" s="77"/>
      <c r="AI540" s="77"/>
      <c r="AJ540" s="77"/>
      <c r="AK540" s="77"/>
      <c r="AL540" s="77"/>
      <c r="AM540" s="77"/>
      <c r="AN540" s="77"/>
      <c r="AO540" s="77"/>
    </row>
    <row r="541" ht="13.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c r="AA541" s="77"/>
      <c r="AB541" s="77"/>
      <c r="AC541" s="77"/>
      <c r="AD541" s="77"/>
      <c r="AE541" s="77"/>
      <c r="AF541" s="77"/>
      <c r="AG541" s="77"/>
      <c r="AH541" s="77"/>
      <c r="AI541" s="77"/>
      <c r="AJ541" s="77"/>
      <c r="AK541" s="77"/>
      <c r="AL541" s="77"/>
      <c r="AM541" s="77"/>
      <c r="AN541" s="77"/>
      <c r="AO541" s="77"/>
    </row>
    <row r="542" ht="13.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c r="AA542" s="77"/>
      <c r="AB542" s="77"/>
      <c r="AC542" s="77"/>
      <c r="AD542" s="77"/>
      <c r="AE542" s="77"/>
      <c r="AF542" s="77"/>
      <c r="AG542" s="77"/>
      <c r="AH542" s="77"/>
      <c r="AI542" s="77"/>
      <c r="AJ542" s="77"/>
      <c r="AK542" s="77"/>
      <c r="AL542" s="77"/>
      <c r="AM542" s="77"/>
      <c r="AN542" s="77"/>
      <c r="AO542" s="77"/>
    </row>
    <row r="543" ht="13.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c r="AA543" s="77"/>
      <c r="AB543" s="77"/>
      <c r="AC543" s="77"/>
      <c r="AD543" s="77"/>
      <c r="AE543" s="77"/>
      <c r="AF543" s="77"/>
      <c r="AG543" s="77"/>
      <c r="AH543" s="77"/>
      <c r="AI543" s="77"/>
      <c r="AJ543" s="77"/>
      <c r="AK543" s="77"/>
      <c r="AL543" s="77"/>
      <c r="AM543" s="77"/>
      <c r="AN543" s="77"/>
      <c r="AO543" s="77"/>
    </row>
    <row r="544" ht="13.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c r="AA544" s="77"/>
      <c r="AB544" s="77"/>
      <c r="AC544" s="77"/>
      <c r="AD544" s="77"/>
      <c r="AE544" s="77"/>
      <c r="AF544" s="77"/>
      <c r="AG544" s="77"/>
      <c r="AH544" s="77"/>
      <c r="AI544" s="77"/>
      <c r="AJ544" s="77"/>
      <c r="AK544" s="77"/>
      <c r="AL544" s="77"/>
      <c r="AM544" s="77"/>
      <c r="AN544" s="77"/>
      <c r="AO544" s="77"/>
    </row>
    <row r="545" ht="13.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c r="AA545" s="77"/>
      <c r="AB545" s="77"/>
      <c r="AC545" s="77"/>
      <c r="AD545" s="77"/>
      <c r="AE545" s="77"/>
      <c r="AF545" s="77"/>
      <c r="AG545" s="77"/>
      <c r="AH545" s="77"/>
      <c r="AI545" s="77"/>
      <c r="AJ545" s="77"/>
      <c r="AK545" s="77"/>
      <c r="AL545" s="77"/>
      <c r="AM545" s="77"/>
      <c r="AN545" s="77"/>
      <c r="AO545" s="77"/>
    </row>
    <row r="546" ht="13.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c r="AA546" s="77"/>
      <c r="AB546" s="77"/>
      <c r="AC546" s="77"/>
      <c r="AD546" s="77"/>
      <c r="AE546" s="77"/>
      <c r="AF546" s="77"/>
      <c r="AG546" s="77"/>
      <c r="AH546" s="77"/>
      <c r="AI546" s="77"/>
      <c r="AJ546" s="77"/>
      <c r="AK546" s="77"/>
      <c r="AL546" s="77"/>
      <c r="AM546" s="77"/>
      <c r="AN546" s="77"/>
      <c r="AO546" s="77"/>
    </row>
    <row r="547" ht="13.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row>
    <row r="548" ht="13.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c r="AA548" s="77"/>
      <c r="AB548" s="77"/>
      <c r="AC548" s="77"/>
      <c r="AD548" s="77"/>
      <c r="AE548" s="77"/>
      <c r="AF548" s="77"/>
      <c r="AG548" s="77"/>
      <c r="AH548" s="77"/>
      <c r="AI548" s="77"/>
      <c r="AJ548" s="77"/>
      <c r="AK548" s="77"/>
      <c r="AL548" s="77"/>
      <c r="AM548" s="77"/>
      <c r="AN548" s="77"/>
      <c r="AO548" s="77"/>
    </row>
    <row r="549" ht="13.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c r="AA549" s="77"/>
      <c r="AB549" s="77"/>
      <c r="AC549" s="77"/>
      <c r="AD549" s="77"/>
      <c r="AE549" s="77"/>
      <c r="AF549" s="77"/>
      <c r="AG549" s="77"/>
      <c r="AH549" s="77"/>
      <c r="AI549" s="77"/>
      <c r="AJ549" s="77"/>
      <c r="AK549" s="77"/>
      <c r="AL549" s="77"/>
      <c r="AM549" s="77"/>
      <c r="AN549" s="77"/>
      <c r="AO549" s="77"/>
    </row>
    <row r="550" ht="13.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c r="AA550" s="77"/>
      <c r="AB550" s="77"/>
      <c r="AC550" s="77"/>
      <c r="AD550" s="77"/>
      <c r="AE550" s="77"/>
      <c r="AF550" s="77"/>
      <c r="AG550" s="77"/>
      <c r="AH550" s="77"/>
      <c r="AI550" s="77"/>
      <c r="AJ550" s="77"/>
      <c r="AK550" s="77"/>
      <c r="AL550" s="77"/>
      <c r="AM550" s="77"/>
      <c r="AN550" s="77"/>
      <c r="AO550" s="77"/>
    </row>
    <row r="551" ht="13.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c r="AA551" s="77"/>
      <c r="AB551" s="77"/>
      <c r="AC551" s="77"/>
      <c r="AD551" s="77"/>
      <c r="AE551" s="77"/>
      <c r="AF551" s="77"/>
      <c r="AG551" s="77"/>
      <c r="AH551" s="77"/>
      <c r="AI551" s="77"/>
      <c r="AJ551" s="77"/>
      <c r="AK551" s="77"/>
      <c r="AL551" s="77"/>
      <c r="AM551" s="77"/>
      <c r="AN551" s="77"/>
      <c r="AO551" s="77"/>
    </row>
    <row r="552" ht="13.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c r="AA552" s="77"/>
      <c r="AB552" s="77"/>
      <c r="AC552" s="77"/>
      <c r="AD552" s="77"/>
      <c r="AE552" s="77"/>
      <c r="AF552" s="77"/>
      <c r="AG552" s="77"/>
      <c r="AH552" s="77"/>
      <c r="AI552" s="77"/>
      <c r="AJ552" s="77"/>
      <c r="AK552" s="77"/>
      <c r="AL552" s="77"/>
      <c r="AM552" s="77"/>
      <c r="AN552" s="77"/>
      <c r="AO552" s="77"/>
    </row>
    <row r="553" ht="13.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row>
    <row r="554" ht="13.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c r="AA554" s="77"/>
      <c r="AB554" s="77"/>
      <c r="AC554" s="77"/>
      <c r="AD554" s="77"/>
      <c r="AE554" s="77"/>
      <c r="AF554" s="77"/>
      <c r="AG554" s="77"/>
      <c r="AH554" s="77"/>
      <c r="AI554" s="77"/>
      <c r="AJ554" s="77"/>
      <c r="AK554" s="77"/>
      <c r="AL554" s="77"/>
      <c r="AM554" s="77"/>
      <c r="AN554" s="77"/>
      <c r="AO554" s="77"/>
    </row>
    <row r="555" ht="13.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c r="AA555" s="77"/>
      <c r="AB555" s="77"/>
      <c r="AC555" s="77"/>
      <c r="AD555" s="77"/>
      <c r="AE555" s="77"/>
      <c r="AF555" s="77"/>
      <c r="AG555" s="77"/>
      <c r="AH555" s="77"/>
      <c r="AI555" s="77"/>
      <c r="AJ555" s="77"/>
      <c r="AK555" s="77"/>
      <c r="AL555" s="77"/>
      <c r="AM555" s="77"/>
      <c r="AN555" s="77"/>
      <c r="AO555" s="77"/>
    </row>
    <row r="556" ht="13.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c r="AA556" s="77"/>
      <c r="AB556" s="77"/>
      <c r="AC556" s="77"/>
      <c r="AD556" s="77"/>
      <c r="AE556" s="77"/>
      <c r="AF556" s="77"/>
      <c r="AG556" s="77"/>
      <c r="AH556" s="77"/>
      <c r="AI556" s="77"/>
      <c r="AJ556" s="77"/>
      <c r="AK556" s="77"/>
      <c r="AL556" s="77"/>
      <c r="AM556" s="77"/>
      <c r="AN556" s="77"/>
      <c r="AO556" s="77"/>
    </row>
    <row r="557" ht="13.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row>
    <row r="558" ht="13.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row>
    <row r="559" ht="13.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row>
    <row r="560" ht="13.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row>
    <row r="561" ht="13.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row>
    <row r="562" ht="13.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row>
    <row r="563" ht="13.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row>
    <row r="564" ht="13.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row>
    <row r="565" ht="13.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row>
    <row r="566" ht="13.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row>
    <row r="567" ht="13.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row>
    <row r="568" ht="13.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row>
    <row r="569" ht="13.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row>
    <row r="570" ht="13.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row>
    <row r="571" ht="13.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row>
    <row r="572" ht="13.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row>
    <row r="573" ht="13.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row>
    <row r="574" ht="13.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c r="AA574" s="77"/>
      <c r="AB574" s="77"/>
      <c r="AC574" s="77"/>
      <c r="AD574" s="77"/>
      <c r="AE574" s="77"/>
      <c r="AF574" s="77"/>
      <c r="AG574" s="77"/>
      <c r="AH574" s="77"/>
      <c r="AI574" s="77"/>
      <c r="AJ574" s="77"/>
      <c r="AK574" s="77"/>
      <c r="AL574" s="77"/>
      <c r="AM574" s="77"/>
      <c r="AN574" s="77"/>
      <c r="AO574" s="77"/>
    </row>
    <row r="575" ht="13.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c r="AA575" s="77"/>
      <c r="AB575" s="77"/>
      <c r="AC575" s="77"/>
      <c r="AD575" s="77"/>
      <c r="AE575" s="77"/>
      <c r="AF575" s="77"/>
      <c r="AG575" s="77"/>
      <c r="AH575" s="77"/>
      <c r="AI575" s="77"/>
      <c r="AJ575" s="77"/>
      <c r="AK575" s="77"/>
      <c r="AL575" s="77"/>
      <c r="AM575" s="77"/>
      <c r="AN575" s="77"/>
      <c r="AO575" s="77"/>
    </row>
    <row r="576" ht="13.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c r="AA576" s="77"/>
      <c r="AB576" s="77"/>
      <c r="AC576" s="77"/>
      <c r="AD576" s="77"/>
      <c r="AE576" s="77"/>
      <c r="AF576" s="77"/>
      <c r="AG576" s="77"/>
      <c r="AH576" s="77"/>
      <c r="AI576" s="77"/>
      <c r="AJ576" s="77"/>
      <c r="AK576" s="77"/>
      <c r="AL576" s="77"/>
      <c r="AM576" s="77"/>
      <c r="AN576" s="77"/>
      <c r="AO576" s="77"/>
    </row>
    <row r="577" ht="13.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c r="AA577" s="77"/>
      <c r="AB577" s="77"/>
      <c r="AC577" s="77"/>
      <c r="AD577" s="77"/>
      <c r="AE577" s="77"/>
      <c r="AF577" s="77"/>
      <c r="AG577" s="77"/>
      <c r="AH577" s="77"/>
      <c r="AI577" s="77"/>
      <c r="AJ577" s="77"/>
      <c r="AK577" s="77"/>
      <c r="AL577" s="77"/>
      <c r="AM577" s="77"/>
      <c r="AN577" s="77"/>
      <c r="AO577" s="77"/>
    </row>
    <row r="578" ht="13.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row>
    <row r="579" ht="13.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c r="AA579" s="77"/>
      <c r="AB579" s="77"/>
      <c r="AC579" s="77"/>
      <c r="AD579" s="77"/>
      <c r="AE579" s="77"/>
      <c r="AF579" s="77"/>
      <c r="AG579" s="77"/>
      <c r="AH579" s="77"/>
      <c r="AI579" s="77"/>
      <c r="AJ579" s="77"/>
      <c r="AK579" s="77"/>
      <c r="AL579" s="77"/>
      <c r="AM579" s="77"/>
      <c r="AN579" s="77"/>
      <c r="AO579" s="77"/>
    </row>
    <row r="580" ht="13.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c r="AA580" s="77"/>
      <c r="AB580" s="77"/>
      <c r="AC580" s="77"/>
      <c r="AD580" s="77"/>
      <c r="AE580" s="77"/>
      <c r="AF580" s="77"/>
      <c r="AG580" s="77"/>
      <c r="AH580" s="77"/>
      <c r="AI580" s="77"/>
      <c r="AJ580" s="77"/>
      <c r="AK580" s="77"/>
      <c r="AL580" s="77"/>
      <c r="AM580" s="77"/>
      <c r="AN580" s="77"/>
      <c r="AO580" s="77"/>
    </row>
    <row r="581" ht="13.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c r="AA581" s="77"/>
      <c r="AB581" s="77"/>
      <c r="AC581" s="77"/>
      <c r="AD581" s="77"/>
      <c r="AE581" s="77"/>
      <c r="AF581" s="77"/>
      <c r="AG581" s="77"/>
      <c r="AH581" s="77"/>
      <c r="AI581" s="77"/>
      <c r="AJ581" s="77"/>
      <c r="AK581" s="77"/>
      <c r="AL581" s="77"/>
      <c r="AM581" s="77"/>
      <c r="AN581" s="77"/>
      <c r="AO581" s="77"/>
    </row>
    <row r="582" ht="13.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c r="AA582" s="77"/>
      <c r="AB582" s="77"/>
      <c r="AC582" s="77"/>
      <c r="AD582" s="77"/>
      <c r="AE582" s="77"/>
      <c r="AF582" s="77"/>
      <c r="AG582" s="77"/>
      <c r="AH582" s="77"/>
      <c r="AI582" s="77"/>
      <c r="AJ582" s="77"/>
      <c r="AK582" s="77"/>
      <c r="AL582" s="77"/>
      <c r="AM582" s="77"/>
      <c r="AN582" s="77"/>
      <c r="AO582" s="77"/>
    </row>
    <row r="583" ht="13.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c r="AA583" s="77"/>
      <c r="AB583" s="77"/>
      <c r="AC583" s="77"/>
      <c r="AD583" s="77"/>
      <c r="AE583" s="77"/>
      <c r="AF583" s="77"/>
      <c r="AG583" s="77"/>
      <c r="AH583" s="77"/>
      <c r="AI583" s="77"/>
      <c r="AJ583" s="77"/>
      <c r="AK583" s="77"/>
      <c r="AL583" s="77"/>
      <c r="AM583" s="77"/>
      <c r="AN583" s="77"/>
      <c r="AO583" s="77"/>
    </row>
    <row r="584" ht="13.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c r="AA584" s="77"/>
      <c r="AB584" s="77"/>
      <c r="AC584" s="77"/>
      <c r="AD584" s="77"/>
      <c r="AE584" s="77"/>
      <c r="AF584" s="77"/>
      <c r="AG584" s="77"/>
      <c r="AH584" s="77"/>
      <c r="AI584" s="77"/>
      <c r="AJ584" s="77"/>
      <c r="AK584" s="77"/>
      <c r="AL584" s="77"/>
      <c r="AM584" s="77"/>
      <c r="AN584" s="77"/>
      <c r="AO584" s="77"/>
    </row>
    <row r="585" ht="13.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c r="AA585" s="77"/>
      <c r="AB585" s="77"/>
      <c r="AC585" s="77"/>
      <c r="AD585" s="77"/>
      <c r="AE585" s="77"/>
      <c r="AF585" s="77"/>
      <c r="AG585" s="77"/>
      <c r="AH585" s="77"/>
      <c r="AI585" s="77"/>
      <c r="AJ585" s="77"/>
      <c r="AK585" s="77"/>
      <c r="AL585" s="77"/>
      <c r="AM585" s="77"/>
      <c r="AN585" s="77"/>
      <c r="AO585" s="77"/>
    </row>
    <row r="586" ht="13.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row>
    <row r="587" ht="13.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row>
    <row r="588" ht="13.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row>
    <row r="589" ht="13.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row>
    <row r="590" ht="13.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row>
    <row r="591" ht="13.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row>
    <row r="592" ht="13.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row>
    <row r="593" ht="13.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row>
    <row r="594" ht="13.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row>
    <row r="595" ht="13.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row>
    <row r="596" ht="13.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row>
    <row r="597" ht="13.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row>
    <row r="598" ht="13.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row>
    <row r="599" ht="13.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row>
    <row r="600" ht="13.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row>
    <row r="601" ht="13.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row>
    <row r="602" ht="13.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row>
    <row r="603" ht="13.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row>
    <row r="604" ht="13.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row>
    <row r="605" ht="13.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row>
    <row r="606" ht="13.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row>
    <row r="607" ht="13.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row>
    <row r="608" ht="13.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row>
    <row r="609" ht="13.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row>
    <row r="610" ht="13.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row>
    <row r="611" ht="13.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row>
    <row r="612" ht="13.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row>
    <row r="613" ht="13.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row>
    <row r="614" ht="13.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row>
    <row r="615" ht="13.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row>
    <row r="616" ht="13.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row>
    <row r="617" ht="13.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row>
    <row r="618" ht="13.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row>
    <row r="619" ht="13.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row>
    <row r="620" ht="13.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row>
    <row r="621" ht="13.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row>
    <row r="622" ht="13.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row>
    <row r="623" ht="13.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row>
    <row r="624" ht="13.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row>
    <row r="625" ht="13.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row>
    <row r="626" ht="13.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row>
    <row r="627" ht="13.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row>
    <row r="628" ht="13.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row>
    <row r="629" ht="13.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row>
    <row r="630" ht="13.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row>
    <row r="631" ht="13.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row>
    <row r="632" ht="13.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row>
    <row r="633" ht="13.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row>
    <row r="634" ht="13.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row>
    <row r="635" ht="13.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row>
    <row r="636" ht="13.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row>
    <row r="637" ht="13.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row>
    <row r="638" ht="13.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row>
    <row r="639" ht="13.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row>
    <row r="640" ht="13.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row>
    <row r="641" ht="13.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row>
    <row r="642" ht="13.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row>
    <row r="643" ht="13.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row>
    <row r="644" ht="13.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row>
    <row r="645" ht="13.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row>
    <row r="646" ht="13.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row>
    <row r="647" ht="13.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row>
    <row r="648" ht="13.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row>
    <row r="649" ht="13.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row>
    <row r="650" ht="13.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c r="AA650" s="77"/>
      <c r="AB650" s="77"/>
      <c r="AC650" s="77"/>
      <c r="AD650" s="77"/>
      <c r="AE650" s="77"/>
      <c r="AF650" s="77"/>
      <c r="AG650" s="77"/>
      <c r="AH650" s="77"/>
      <c r="AI650" s="77"/>
      <c r="AJ650" s="77"/>
      <c r="AK650" s="77"/>
      <c r="AL650" s="77"/>
      <c r="AM650" s="77"/>
      <c r="AN650" s="77"/>
      <c r="AO650" s="77"/>
    </row>
    <row r="651" ht="13.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c r="AA651" s="77"/>
      <c r="AB651" s="77"/>
      <c r="AC651" s="77"/>
      <c r="AD651" s="77"/>
      <c r="AE651" s="77"/>
      <c r="AF651" s="77"/>
      <c r="AG651" s="77"/>
      <c r="AH651" s="77"/>
      <c r="AI651" s="77"/>
      <c r="AJ651" s="77"/>
      <c r="AK651" s="77"/>
      <c r="AL651" s="77"/>
      <c r="AM651" s="77"/>
      <c r="AN651" s="77"/>
      <c r="AO651" s="77"/>
    </row>
    <row r="652" ht="13.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c r="AA652" s="77"/>
      <c r="AB652" s="77"/>
      <c r="AC652" s="77"/>
      <c r="AD652" s="77"/>
      <c r="AE652" s="77"/>
      <c r="AF652" s="77"/>
      <c r="AG652" s="77"/>
      <c r="AH652" s="77"/>
      <c r="AI652" s="77"/>
      <c r="AJ652" s="77"/>
      <c r="AK652" s="77"/>
      <c r="AL652" s="77"/>
      <c r="AM652" s="77"/>
      <c r="AN652" s="77"/>
      <c r="AO652" s="77"/>
    </row>
    <row r="653" ht="13.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c r="AA653" s="77"/>
      <c r="AB653" s="77"/>
      <c r="AC653" s="77"/>
      <c r="AD653" s="77"/>
      <c r="AE653" s="77"/>
      <c r="AF653" s="77"/>
      <c r="AG653" s="77"/>
      <c r="AH653" s="77"/>
      <c r="AI653" s="77"/>
      <c r="AJ653" s="77"/>
      <c r="AK653" s="77"/>
      <c r="AL653" s="77"/>
      <c r="AM653" s="77"/>
      <c r="AN653" s="77"/>
      <c r="AO653" s="77"/>
    </row>
    <row r="654" ht="13.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c r="AA654" s="77"/>
      <c r="AB654" s="77"/>
      <c r="AC654" s="77"/>
      <c r="AD654" s="77"/>
      <c r="AE654" s="77"/>
      <c r="AF654" s="77"/>
      <c r="AG654" s="77"/>
      <c r="AH654" s="77"/>
      <c r="AI654" s="77"/>
      <c r="AJ654" s="77"/>
      <c r="AK654" s="77"/>
      <c r="AL654" s="77"/>
      <c r="AM654" s="77"/>
      <c r="AN654" s="77"/>
      <c r="AO654" s="77"/>
    </row>
    <row r="655" ht="13.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c r="AA655" s="77"/>
      <c r="AB655" s="77"/>
      <c r="AC655" s="77"/>
      <c r="AD655" s="77"/>
      <c r="AE655" s="77"/>
      <c r="AF655" s="77"/>
      <c r="AG655" s="77"/>
      <c r="AH655" s="77"/>
      <c r="AI655" s="77"/>
      <c r="AJ655" s="77"/>
      <c r="AK655" s="77"/>
      <c r="AL655" s="77"/>
      <c r="AM655" s="77"/>
      <c r="AN655" s="77"/>
      <c r="AO655" s="77"/>
    </row>
    <row r="656" ht="13.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c r="AA656" s="77"/>
      <c r="AB656" s="77"/>
      <c r="AC656" s="77"/>
      <c r="AD656" s="77"/>
      <c r="AE656" s="77"/>
      <c r="AF656" s="77"/>
      <c r="AG656" s="77"/>
      <c r="AH656" s="77"/>
      <c r="AI656" s="77"/>
      <c r="AJ656" s="77"/>
      <c r="AK656" s="77"/>
      <c r="AL656" s="77"/>
      <c r="AM656" s="77"/>
      <c r="AN656" s="77"/>
      <c r="AO656" s="77"/>
    </row>
    <row r="657" ht="13.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c r="AA657" s="77"/>
      <c r="AB657" s="77"/>
      <c r="AC657" s="77"/>
      <c r="AD657" s="77"/>
      <c r="AE657" s="77"/>
      <c r="AF657" s="77"/>
      <c r="AG657" s="77"/>
      <c r="AH657" s="77"/>
      <c r="AI657" s="77"/>
      <c r="AJ657" s="77"/>
      <c r="AK657" s="77"/>
      <c r="AL657" s="77"/>
      <c r="AM657" s="77"/>
      <c r="AN657" s="77"/>
      <c r="AO657" s="77"/>
    </row>
    <row r="658" ht="13.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c r="AA658" s="77"/>
      <c r="AB658" s="77"/>
      <c r="AC658" s="77"/>
      <c r="AD658" s="77"/>
      <c r="AE658" s="77"/>
      <c r="AF658" s="77"/>
      <c r="AG658" s="77"/>
      <c r="AH658" s="77"/>
      <c r="AI658" s="77"/>
      <c r="AJ658" s="77"/>
      <c r="AK658" s="77"/>
      <c r="AL658" s="77"/>
      <c r="AM658" s="77"/>
      <c r="AN658" s="77"/>
      <c r="AO658" s="77"/>
    </row>
    <row r="659" ht="13.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c r="AA659" s="77"/>
      <c r="AB659" s="77"/>
      <c r="AC659" s="77"/>
      <c r="AD659" s="77"/>
      <c r="AE659" s="77"/>
      <c r="AF659" s="77"/>
      <c r="AG659" s="77"/>
      <c r="AH659" s="77"/>
      <c r="AI659" s="77"/>
      <c r="AJ659" s="77"/>
      <c r="AK659" s="77"/>
      <c r="AL659" s="77"/>
      <c r="AM659" s="77"/>
      <c r="AN659" s="77"/>
      <c r="AO659" s="77"/>
    </row>
    <row r="660" ht="13.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c r="AA660" s="77"/>
      <c r="AB660" s="77"/>
      <c r="AC660" s="77"/>
      <c r="AD660" s="77"/>
      <c r="AE660" s="77"/>
      <c r="AF660" s="77"/>
      <c r="AG660" s="77"/>
      <c r="AH660" s="77"/>
      <c r="AI660" s="77"/>
      <c r="AJ660" s="77"/>
      <c r="AK660" s="77"/>
      <c r="AL660" s="77"/>
      <c r="AM660" s="77"/>
      <c r="AN660" s="77"/>
      <c r="AO660" s="77"/>
    </row>
    <row r="661" ht="13.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c r="AA661" s="77"/>
      <c r="AB661" s="77"/>
      <c r="AC661" s="77"/>
      <c r="AD661" s="77"/>
      <c r="AE661" s="77"/>
      <c r="AF661" s="77"/>
      <c r="AG661" s="77"/>
      <c r="AH661" s="77"/>
      <c r="AI661" s="77"/>
      <c r="AJ661" s="77"/>
      <c r="AK661" s="77"/>
      <c r="AL661" s="77"/>
      <c r="AM661" s="77"/>
      <c r="AN661" s="77"/>
      <c r="AO661" s="77"/>
    </row>
    <row r="662" ht="13.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c r="AA662" s="77"/>
      <c r="AB662" s="77"/>
      <c r="AC662" s="77"/>
      <c r="AD662" s="77"/>
      <c r="AE662" s="77"/>
      <c r="AF662" s="77"/>
      <c r="AG662" s="77"/>
      <c r="AH662" s="77"/>
      <c r="AI662" s="77"/>
      <c r="AJ662" s="77"/>
      <c r="AK662" s="77"/>
      <c r="AL662" s="77"/>
      <c r="AM662" s="77"/>
      <c r="AN662" s="77"/>
      <c r="AO662" s="77"/>
    </row>
    <row r="663" ht="13.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row>
    <row r="664" ht="13.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c r="AA664" s="77"/>
      <c r="AB664" s="77"/>
      <c r="AC664" s="77"/>
      <c r="AD664" s="77"/>
      <c r="AE664" s="77"/>
      <c r="AF664" s="77"/>
      <c r="AG664" s="77"/>
      <c r="AH664" s="77"/>
      <c r="AI664" s="77"/>
      <c r="AJ664" s="77"/>
      <c r="AK664" s="77"/>
      <c r="AL664" s="77"/>
      <c r="AM664" s="77"/>
      <c r="AN664" s="77"/>
      <c r="AO664" s="77"/>
    </row>
    <row r="665" ht="13.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c r="AA665" s="77"/>
      <c r="AB665" s="77"/>
      <c r="AC665" s="77"/>
      <c r="AD665" s="77"/>
      <c r="AE665" s="77"/>
      <c r="AF665" s="77"/>
      <c r="AG665" s="77"/>
      <c r="AH665" s="77"/>
      <c r="AI665" s="77"/>
      <c r="AJ665" s="77"/>
      <c r="AK665" s="77"/>
      <c r="AL665" s="77"/>
      <c r="AM665" s="77"/>
      <c r="AN665" s="77"/>
      <c r="AO665" s="77"/>
    </row>
    <row r="666" ht="13.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c r="AA666" s="77"/>
      <c r="AB666" s="77"/>
      <c r="AC666" s="77"/>
      <c r="AD666" s="77"/>
      <c r="AE666" s="77"/>
      <c r="AF666" s="77"/>
      <c r="AG666" s="77"/>
      <c r="AH666" s="77"/>
      <c r="AI666" s="77"/>
      <c r="AJ666" s="77"/>
      <c r="AK666" s="77"/>
      <c r="AL666" s="77"/>
      <c r="AM666" s="77"/>
      <c r="AN666" s="77"/>
      <c r="AO666" s="77"/>
    </row>
    <row r="667" ht="13.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c r="AA667" s="77"/>
      <c r="AB667" s="77"/>
      <c r="AC667" s="77"/>
      <c r="AD667" s="77"/>
      <c r="AE667" s="77"/>
      <c r="AF667" s="77"/>
      <c r="AG667" s="77"/>
      <c r="AH667" s="77"/>
      <c r="AI667" s="77"/>
      <c r="AJ667" s="77"/>
      <c r="AK667" s="77"/>
      <c r="AL667" s="77"/>
      <c r="AM667" s="77"/>
      <c r="AN667" s="77"/>
      <c r="AO667" s="77"/>
    </row>
    <row r="668" ht="13.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c r="AA668" s="77"/>
      <c r="AB668" s="77"/>
      <c r="AC668" s="77"/>
      <c r="AD668" s="77"/>
      <c r="AE668" s="77"/>
      <c r="AF668" s="77"/>
      <c r="AG668" s="77"/>
      <c r="AH668" s="77"/>
      <c r="AI668" s="77"/>
      <c r="AJ668" s="77"/>
      <c r="AK668" s="77"/>
      <c r="AL668" s="77"/>
      <c r="AM668" s="77"/>
      <c r="AN668" s="77"/>
      <c r="AO668" s="77"/>
    </row>
    <row r="669" ht="13.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c r="AA669" s="77"/>
      <c r="AB669" s="77"/>
      <c r="AC669" s="77"/>
      <c r="AD669" s="77"/>
      <c r="AE669" s="77"/>
      <c r="AF669" s="77"/>
      <c r="AG669" s="77"/>
      <c r="AH669" s="77"/>
      <c r="AI669" s="77"/>
      <c r="AJ669" s="77"/>
      <c r="AK669" s="77"/>
      <c r="AL669" s="77"/>
      <c r="AM669" s="77"/>
      <c r="AN669" s="77"/>
      <c r="AO669" s="77"/>
    </row>
    <row r="670" ht="13.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c r="AA670" s="77"/>
      <c r="AB670" s="77"/>
      <c r="AC670" s="77"/>
      <c r="AD670" s="77"/>
      <c r="AE670" s="77"/>
      <c r="AF670" s="77"/>
      <c r="AG670" s="77"/>
      <c r="AH670" s="77"/>
      <c r="AI670" s="77"/>
      <c r="AJ670" s="77"/>
      <c r="AK670" s="77"/>
      <c r="AL670" s="77"/>
      <c r="AM670" s="77"/>
      <c r="AN670" s="77"/>
      <c r="AO670" s="77"/>
    </row>
    <row r="671" ht="13.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c r="AA671" s="77"/>
      <c r="AB671" s="77"/>
      <c r="AC671" s="77"/>
      <c r="AD671" s="77"/>
      <c r="AE671" s="77"/>
      <c r="AF671" s="77"/>
      <c r="AG671" s="77"/>
      <c r="AH671" s="77"/>
      <c r="AI671" s="77"/>
      <c r="AJ671" s="77"/>
      <c r="AK671" s="77"/>
      <c r="AL671" s="77"/>
      <c r="AM671" s="77"/>
      <c r="AN671" s="77"/>
      <c r="AO671" s="77"/>
    </row>
    <row r="672" ht="13.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c r="AA672" s="77"/>
      <c r="AB672" s="77"/>
      <c r="AC672" s="77"/>
      <c r="AD672" s="77"/>
      <c r="AE672" s="77"/>
      <c r="AF672" s="77"/>
      <c r="AG672" s="77"/>
      <c r="AH672" s="77"/>
      <c r="AI672" s="77"/>
      <c r="AJ672" s="77"/>
      <c r="AK672" s="77"/>
      <c r="AL672" s="77"/>
      <c r="AM672" s="77"/>
      <c r="AN672" s="77"/>
      <c r="AO672" s="77"/>
    </row>
    <row r="673" ht="13.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c r="AA673" s="77"/>
      <c r="AB673" s="77"/>
      <c r="AC673" s="77"/>
      <c r="AD673" s="77"/>
      <c r="AE673" s="77"/>
      <c r="AF673" s="77"/>
      <c r="AG673" s="77"/>
      <c r="AH673" s="77"/>
      <c r="AI673" s="77"/>
      <c r="AJ673" s="77"/>
      <c r="AK673" s="77"/>
      <c r="AL673" s="77"/>
      <c r="AM673" s="77"/>
      <c r="AN673" s="77"/>
      <c r="AO673" s="77"/>
    </row>
    <row r="674" ht="13.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c r="AA674" s="77"/>
      <c r="AB674" s="77"/>
      <c r="AC674" s="77"/>
      <c r="AD674" s="77"/>
      <c r="AE674" s="77"/>
      <c r="AF674" s="77"/>
      <c r="AG674" s="77"/>
      <c r="AH674" s="77"/>
      <c r="AI674" s="77"/>
      <c r="AJ674" s="77"/>
      <c r="AK674" s="77"/>
      <c r="AL674" s="77"/>
      <c r="AM674" s="77"/>
      <c r="AN674" s="77"/>
      <c r="AO674" s="77"/>
    </row>
    <row r="675" ht="13.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c r="AA675" s="77"/>
      <c r="AB675" s="77"/>
      <c r="AC675" s="77"/>
      <c r="AD675" s="77"/>
      <c r="AE675" s="77"/>
      <c r="AF675" s="77"/>
      <c r="AG675" s="77"/>
      <c r="AH675" s="77"/>
      <c r="AI675" s="77"/>
      <c r="AJ675" s="77"/>
      <c r="AK675" s="77"/>
      <c r="AL675" s="77"/>
      <c r="AM675" s="77"/>
      <c r="AN675" s="77"/>
      <c r="AO675" s="77"/>
    </row>
    <row r="676" ht="13.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c r="AA676" s="77"/>
      <c r="AB676" s="77"/>
      <c r="AC676" s="77"/>
      <c r="AD676" s="77"/>
      <c r="AE676" s="77"/>
      <c r="AF676" s="77"/>
      <c r="AG676" s="77"/>
      <c r="AH676" s="77"/>
      <c r="AI676" s="77"/>
      <c r="AJ676" s="77"/>
      <c r="AK676" s="77"/>
      <c r="AL676" s="77"/>
      <c r="AM676" s="77"/>
      <c r="AN676" s="77"/>
      <c r="AO676" s="77"/>
    </row>
    <row r="677" ht="13.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c r="AA677" s="77"/>
      <c r="AB677" s="77"/>
      <c r="AC677" s="77"/>
      <c r="AD677" s="77"/>
      <c r="AE677" s="77"/>
      <c r="AF677" s="77"/>
      <c r="AG677" s="77"/>
      <c r="AH677" s="77"/>
      <c r="AI677" s="77"/>
      <c r="AJ677" s="77"/>
      <c r="AK677" s="77"/>
      <c r="AL677" s="77"/>
      <c r="AM677" s="77"/>
      <c r="AN677" s="77"/>
      <c r="AO677" s="77"/>
    </row>
    <row r="678" ht="13.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c r="AA678" s="77"/>
      <c r="AB678" s="77"/>
      <c r="AC678" s="77"/>
      <c r="AD678" s="77"/>
      <c r="AE678" s="77"/>
      <c r="AF678" s="77"/>
      <c r="AG678" s="77"/>
      <c r="AH678" s="77"/>
      <c r="AI678" s="77"/>
      <c r="AJ678" s="77"/>
      <c r="AK678" s="77"/>
      <c r="AL678" s="77"/>
      <c r="AM678" s="77"/>
      <c r="AN678" s="77"/>
      <c r="AO678" s="77"/>
    </row>
    <row r="679" ht="13.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c r="AA679" s="77"/>
      <c r="AB679" s="77"/>
      <c r="AC679" s="77"/>
      <c r="AD679" s="77"/>
      <c r="AE679" s="77"/>
      <c r="AF679" s="77"/>
      <c r="AG679" s="77"/>
      <c r="AH679" s="77"/>
      <c r="AI679" s="77"/>
      <c r="AJ679" s="77"/>
      <c r="AK679" s="77"/>
      <c r="AL679" s="77"/>
      <c r="AM679" s="77"/>
      <c r="AN679" s="77"/>
      <c r="AO679" s="77"/>
    </row>
    <row r="680" ht="13.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c r="AA680" s="77"/>
      <c r="AB680" s="77"/>
      <c r="AC680" s="77"/>
      <c r="AD680" s="77"/>
      <c r="AE680" s="77"/>
      <c r="AF680" s="77"/>
      <c r="AG680" s="77"/>
      <c r="AH680" s="77"/>
      <c r="AI680" s="77"/>
      <c r="AJ680" s="77"/>
      <c r="AK680" s="77"/>
      <c r="AL680" s="77"/>
      <c r="AM680" s="77"/>
      <c r="AN680" s="77"/>
      <c r="AO680" s="77"/>
    </row>
    <row r="681" ht="13.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c r="AA681" s="77"/>
      <c r="AB681" s="77"/>
      <c r="AC681" s="77"/>
      <c r="AD681" s="77"/>
      <c r="AE681" s="77"/>
      <c r="AF681" s="77"/>
      <c r="AG681" s="77"/>
      <c r="AH681" s="77"/>
      <c r="AI681" s="77"/>
      <c r="AJ681" s="77"/>
      <c r="AK681" s="77"/>
      <c r="AL681" s="77"/>
      <c r="AM681" s="77"/>
      <c r="AN681" s="77"/>
      <c r="AO681" s="77"/>
    </row>
    <row r="682" ht="13.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c r="AA682" s="77"/>
      <c r="AB682" s="77"/>
      <c r="AC682" s="77"/>
      <c r="AD682" s="77"/>
      <c r="AE682" s="77"/>
      <c r="AF682" s="77"/>
      <c r="AG682" s="77"/>
      <c r="AH682" s="77"/>
      <c r="AI682" s="77"/>
      <c r="AJ682" s="77"/>
      <c r="AK682" s="77"/>
      <c r="AL682" s="77"/>
      <c r="AM682" s="77"/>
      <c r="AN682" s="77"/>
      <c r="AO682" s="77"/>
    </row>
    <row r="683" ht="13.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c r="AA683" s="77"/>
      <c r="AB683" s="77"/>
      <c r="AC683" s="77"/>
      <c r="AD683" s="77"/>
      <c r="AE683" s="77"/>
      <c r="AF683" s="77"/>
      <c r="AG683" s="77"/>
      <c r="AH683" s="77"/>
      <c r="AI683" s="77"/>
      <c r="AJ683" s="77"/>
      <c r="AK683" s="77"/>
      <c r="AL683" s="77"/>
      <c r="AM683" s="77"/>
      <c r="AN683" s="77"/>
      <c r="AO683" s="77"/>
    </row>
    <row r="684" ht="13.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c r="AA684" s="77"/>
      <c r="AB684" s="77"/>
      <c r="AC684" s="77"/>
      <c r="AD684" s="77"/>
      <c r="AE684" s="77"/>
      <c r="AF684" s="77"/>
      <c r="AG684" s="77"/>
      <c r="AH684" s="77"/>
      <c r="AI684" s="77"/>
      <c r="AJ684" s="77"/>
      <c r="AK684" s="77"/>
      <c r="AL684" s="77"/>
      <c r="AM684" s="77"/>
      <c r="AN684" s="77"/>
      <c r="AO684" s="77"/>
    </row>
    <row r="685" ht="13.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c r="AA685" s="77"/>
      <c r="AB685" s="77"/>
      <c r="AC685" s="77"/>
      <c r="AD685" s="77"/>
      <c r="AE685" s="77"/>
      <c r="AF685" s="77"/>
      <c r="AG685" s="77"/>
      <c r="AH685" s="77"/>
      <c r="AI685" s="77"/>
      <c r="AJ685" s="77"/>
      <c r="AK685" s="77"/>
      <c r="AL685" s="77"/>
      <c r="AM685" s="77"/>
      <c r="AN685" s="77"/>
      <c r="AO685" s="77"/>
    </row>
    <row r="686" ht="13.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c r="AA686" s="77"/>
      <c r="AB686" s="77"/>
      <c r="AC686" s="77"/>
      <c r="AD686" s="77"/>
      <c r="AE686" s="77"/>
      <c r="AF686" s="77"/>
      <c r="AG686" s="77"/>
      <c r="AH686" s="77"/>
      <c r="AI686" s="77"/>
      <c r="AJ686" s="77"/>
      <c r="AK686" s="77"/>
      <c r="AL686" s="77"/>
      <c r="AM686" s="77"/>
      <c r="AN686" s="77"/>
      <c r="AO686" s="77"/>
    </row>
    <row r="687" ht="13.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c r="AA687" s="77"/>
      <c r="AB687" s="77"/>
      <c r="AC687" s="77"/>
      <c r="AD687" s="77"/>
      <c r="AE687" s="77"/>
      <c r="AF687" s="77"/>
      <c r="AG687" s="77"/>
      <c r="AH687" s="77"/>
      <c r="AI687" s="77"/>
      <c r="AJ687" s="77"/>
      <c r="AK687" s="77"/>
      <c r="AL687" s="77"/>
      <c r="AM687" s="77"/>
      <c r="AN687" s="77"/>
      <c r="AO687" s="77"/>
    </row>
    <row r="688" ht="13.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c r="AA688" s="77"/>
      <c r="AB688" s="77"/>
      <c r="AC688" s="77"/>
      <c r="AD688" s="77"/>
      <c r="AE688" s="77"/>
      <c r="AF688" s="77"/>
      <c r="AG688" s="77"/>
      <c r="AH688" s="77"/>
      <c r="AI688" s="77"/>
      <c r="AJ688" s="77"/>
      <c r="AK688" s="77"/>
      <c r="AL688" s="77"/>
      <c r="AM688" s="77"/>
      <c r="AN688" s="77"/>
      <c r="AO688" s="77"/>
    </row>
    <row r="689" ht="13.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c r="AA689" s="77"/>
      <c r="AB689" s="77"/>
      <c r="AC689" s="77"/>
      <c r="AD689" s="77"/>
      <c r="AE689" s="77"/>
      <c r="AF689" s="77"/>
      <c r="AG689" s="77"/>
      <c r="AH689" s="77"/>
      <c r="AI689" s="77"/>
      <c r="AJ689" s="77"/>
      <c r="AK689" s="77"/>
      <c r="AL689" s="77"/>
      <c r="AM689" s="77"/>
      <c r="AN689" s="77"/>
      <c r="AO689" s="77"/>
    </row>
    <row r="690" ht="13.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row>
    <row r="691" ht="13.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c r="AA691" s="77"/>
      <c r="AB691" s="77"/>
      <c r="AC691" s="77"/>
      <c r="AD691" s="77"/>
      <c r="AE691" s="77"/>
      <c r="AF691" s="77"/>
      <c r="AG691" s="77"/>
      <c r="AH691" s="77"/>
      <c r="AI691" s="77"/>
      <c r="AJ691" s="77"/>
      <c r="AK691" s="77"/>
      <c r="AL691" s="77"/>
      <c r="AM691" s="77"/>
      <c r="AN691" s="77"/>
      <c r="AO691" s="77"/>
    </row>
    <row r="692" ht="13.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c r="AA692" s="77"/>
      <c r="AB692" s="77"/>
      <c r="AC692" s="77"/>
      <c r="AD692" s="77"/>
      <c r="AE692" s="77"/>
      <c r="AF692" s="77"/>
      <c r="AG692" s="77"/>
      <c r="AH692" s="77"/>
      <c r="AI692" s="77"/>
      <c r="AJ692" s="77"/>
      <c r="AK692" s="77"/>
      <c r="AL692" s="77"/>
      <c r="AM692" s="77"/>
      <c r="AN692" s="77"/>
      <c r="AO692" s="77"/>
    </row>
    <row r="693" ht="13.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c r="AA693" s="77"/>
      <c r="AB693" s="77"/>
      <c r="AC693" s="77"/>
      <c r="AD693" s="77"/>
      <c r="AE693" s="77"/>
      <c r="AF693" s="77"/>
      <c r="AG693" s="77"/>
      <c r="AH693" s="77"/>
      <c r="AI693" s="77"/>
      <c r="AJ693" s="77"/>
      <c r="AK693" s="77"/>
      <c r="AL693" s="77"/>
      <c r="AM693" s="77"/>
      <c r="AN693" s="77"/>
      <c r="AO693" s="77"/>
    </row>
    <row r="694" ht="13.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c r="AA694" s="77"/>
      <c r="AB694" s="77"/>
      <c r="AC694" s="77"/>
      <c r="AD694" s="77"/>
      <c r="AE694" s="77"/>
      <c r="AF694" s="77"/>
      <c r="AG694" s="77"/>
      <c r="AH694" s="77"/>
      <c r="AI694" s="77"/>
      <c r="AJ694" s="77"/>
      <c r="AK694" s="77"/>
      <c r="AL694" s="77"/>
      <c r="AM694" s="77"/>
      <c r="AN694" s="77"/>
      <c r="AO694" s="77"/>
    </row>
    <row r="695" ht="13.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c r="AA695" s="77"/>
      <c r="AB695" s="77"/>
      <c r="AC695" s="77"/>
      <c r="AD695" s="77"/>
      <c r="AE695" s="77"/>
      <c r="AF695" s="77"/>
      <c r="AG695" s="77"/>
      <c r="AH695" s="77"/>
      <c r="AI695" s="77"/>
      <c r="AJ695" s="77"/>
      <c r="AK695" s="77"/>
      <c r="AL695" s="77"/>
      <c r="AM695" s="77"/>
      <c r="AN695" s="77"/>
      <c r="AO695" s="77"/>
    </row>
    <row r="696" ht="13.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c r="AA696" s="77"/>
      <c r="AB696" s="77"/>
      <c r="AC696" s="77"/>
      <c r="AD696" s="77"/>
      <c r="AE696" s="77"/>
      <c r="AF696" s="77"/>
      <c r="AG696" s="77"/>
      <c r="AH696" s="77"/>
      <c r="AI696" s="77"/>
      <c r="AJ696" s="77"/>
      <c r="AK696" s="77"/>
      <c r="AL696" s="77"/>
      <c r="AM696" s="77"/>
      <c r="AN696" s="77"/>
      <c r="AO696" s="77"/>
    </row>
    <row r="697" ht="13.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c r="AA697" s="77"/>
      <c r="AB697" s="77"/>
      <c r="AC697" s="77"/>
      <c r="AD697" s="77"/>
      <c r="AE697" s="77"/>
      <c r="AF697" s="77"/>
      <c r="AG697" s="77"/>
      <c r="AH697" s="77"/>
      <c r="AI697" s="77"/>
      <c r="AJ697" s="77"/>
      <c r="AK697" s="77"/>
      <c r="AL697" s="77"/>
      <c r="AM697" s="77"/>
      <c r="AN697" s="77"/>
      <c r="AO697" s="77"/>
    </row>
    <row r="698" ht="13.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c r="AA698" s="77"/>
      <c r="AB698" s="77"/>
      <c r="AC698" s="77"/>
      <c r="AD698" s="77"/>
      <c r="AE698" s="77"/>
      <c r="AF698" s="77"/>
      <c r="AG698" s="77"/>
      <c r="AH698" s="77"/>
      <c r="AI698" s="77"/>
      <c r="AJ698" s="77"/>
      <c r="AK698" s="77"/>
      <c r="AL698" s="77"/>
      <c r="AM698" s="77"/>
      <c r="AN698" s="77"/>
      <c r="AO698" s="77"/>
    </row>
    <row r="699" ht="13.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c r="AA699" s="77"/>
      <c r="AB699" s="77"/>
      <c r="AC699" s="77"/>
      <c r="AD699" s="77"/>
      <c r="AE699" s="77"/>
      <c r="AF699" s="77"/>
      <c r="AG699" s="77"/>
      <c r="AH699" s="77"/>
      <c r="AI699" s="77"/>
      <c r="AJ699" s="77"/>
      <c r="AK699" s="77"/>
      <c r="AL699" s="77"/>
      <c r="AM699" s="77"/>
      <c r="AN699" s="77"/>
      <c r="AO699" s="77"/>
    </row>
    <row r="700" ht="13.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c r="AA700" s="77"/>
      <c r="AB700" s="77"/>
      <c r="AC700" s="77"/>
      <c r="AD700" s="77"/>
      <c r="AE700" s="77"/>
      <c r="AF700" s="77"/>
      <c r="AG700" s="77"/>
      <c r="AH700" s="77"/>
      <c r="AI700" s="77"/>
      <c r="AJ700" s="77"/>
      <c r="AK700" s="77"/>
      <c r="AL700" s="77"/>
      <c r="AM700" s="77"/>
      <c r="AN700" s="77"/>
      <c r="AO700" s="77"/>
    </row>
    <row r="701" ht="13.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c r="AA701" s="77"/>
      <c r="AB701" s="77"/>
      <c r="AC701" s="77"/>
      <c r="AD701" s="77"/>
      <c r="AE701" s="77"/>
      <c r="AF701" s="77"/>
      <c r="AG701" s="77"/>
      <c r="AH701" s="77"/>
      <c r="AI701" s="77"/>
      <c r="AJ701" s="77"/>
      <c r="AK701" s="77"/>
      <c r="AL701" s="77"/>
      <c r="AM701" s="77"/>
      <c r="AN701" s="77"/>
      <c r="AO701" s="77"/>
    </row>
    <row r="702" ht="13.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c r="AA702" s="77"/>
      <c r="AB702" s="77"/>
      <c r="AC702" s="77"/>
      <c r="AD702" s="77"/>
      <c r="AE702" s="77"/>
      <c r="AF702" s="77"/>
      <c r="AG702" s="77"/>
      <c r="AH702" s="77"/>
      <c r="AI702" s="77"/>
      <c r="AJ702" s="77"/>
      <c r="AK702" s="77"/>
      <c r="AL702" s="77"/>
      <c r="AM702" s="77"/>
      <c r="AN702" s="77"/>
      <c r="AO702" s="77"/>
    </row>
    <row r="703" ht="13.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c r="AA703" s="77"/>
      <c r="AB703" s="77"/>
      <c r="AC703" s="77"/>
      <c r="AD703" s="77"/>
      <c r="AE703" s="77"/>
      <c r="AF703" s="77"/>
      <c r="AG703" s="77"/>
      <c r="AH703" s="77"/>
      <c r="AI703" s="77"/>
      <c r="AJ703" s="77"/>
      <c r="AK703" s="77"/>
      <c r="AL703" s="77"/>
      <c r="AM703" s="77"/>
      <c r="AN703" s="77"/>
      <c r="AO703" s="77"/>
    </row>
    <row r="704" ht="13.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c r="AA704" s="77"/>
      <c r="AB704" s="77"/>
      <c r="AC704" s="77"/>
      <c r="AD704" s="77"/>
      <c r="AE704" s="77"/>
      <c r="AF704" s="77"/>
      <c r="AG704" s="77"/>
      <c r="AH704" s="77"/>
      <c r="AI704" s="77"/>
      <c r="AJ704" s="77"/>
      <c r="AK704" s="77"/>
      <c r="AL704" s="77"/>
      <c r="AM704" s="77"/>
      <c r="AN704" s="77"/>
      <c r="AO704" s="77"/>
    </row>
    <row r="705" ht="13.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c r="AA705" s="77"/>
      <c r="AB705" s="77"/>
      <c r="AC705" s="77"/>
      <c r="AD705" s="77"/>
      <c r="AE705" s="77"/>
      <c r="AF705" s="77"/>
      <c r="AG705" s="77"/>
      <c r="AH705" s="77"/>
      <c r="AI705" s="77"/>
      <c r="AJ705" s="77"/>
      <c r="AK705" s="77"/>
      <c r="AL705" s="77"/>
      <c r="AM705" s="77"/>
      <c r="AN705" s="77"/>
      <c r="AO705" s="77"/>
    </row>
    <row r="706" ht="13.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c r="AA706" s="77"/>
      <c r="AB706" s="77"/>
      <c r="AC706" s="77"/>
      <c r="AD706" s="77"/>
      <c r="AE706" s="77"/>
      <c r="AF706" s="77"/>
      <c r="AG706" s="77"/>
      <c r="AH706" s="77"/>
      <c r="AI706" s="77"/>
      <c r="AJ706" s="77"/>
      <c r="AK706" s="77"/>
      <c r="AL706" s="77"/>
      <c r="AM706" s="77"/>
      <c r="AN706" s="77"/>
      <c r="AO706" s="77"/>
    </row>
    <row r="707" ht="13.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c r="AA707" s="77"/>
      <c r="AB707" s="77"/>
      <c r="AC707" s="77"/>
      <c r="AD707" s="77"/>
      <c r="AE707" s="77"/>
      <c r="AF707" s="77"/>
      <c r="AG707" s="77"/>
      <c r="AH707" s="77"/>
      <c r="AI707" s="77"/>
      <c r="AJ707" s="77"/>
      <c r="AK707" s="77"/>
      <c r="AL707" s="77"/>
      <c r="AM707" s="77"/>
      <c r="AN707" s="77"/>
      <c r="AO707" s="77"/>
    </row>
    <row r="708" ht="13.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c r="AA708" s="77"/>
      <c r="AB708" s="77"/>
      <c r="AC708" s="77"/>
      <c r="AD708" s="77"/>
      <c r="AE708" s="77"/>
      <c r="AF708" s="77"/>
      <c r="AG708" s="77"/>
      <c r="AH708" s="77"/>
      <c r="AI708" s="77"/>
      <c r="AJ708" s="77"/>
      <c r="AK708" s="77"/>
      <c r="AL708" s="77"/>
      <c r="AM708" s="77"/>
      <c r="AN708" s="77"/>
      <c r="AO708" s="77"/>
    </row>
    <row r="709" ht="13.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c r="AA709" s="77"/>
      <c r="AB709" s="77"/>
      <c r="AC709" s="77"/>
      <c r="AD709" s="77"/>
      <c r="AE709" s="77"/>
      <c r="AF709" s="77"/>
      <c r="AG709" s="77"/>
      <c r="AH709" s="77"/>
      <c r="AI709" s="77"/>
      <c r="AJ709" s="77"/>
      <c r="AK709" s="77"/>
      <c r="AL709" s="77"/>
      <c r="AM709" s="77"/>
      <c r="AN709" s="77"/>
      <c r="AO709" s="77"/>
    </row>
    <row r="710" ht="13.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c r="AA710" s="77"/>
      <c r="AB710" s="77"/>
      <c r="AC710" s="77"/>
      <c r="AD710" s="77"/>
      <c r="AE710" s="77"/>
      <c r="AF710" s="77"/>
      <c r="AG710" s="77"/>
      <c r="AH710" s="77"/>
      <c r="AI710" s="77"/>
      <c r="AJ710" s="77"/>
      <c r="AK710" s="77"/>
      <c r="AL710" s="77"/>
      <c r="AM710" s="77"/>
      <c r="AN710" s="77"/>
      <c r="AO710" s="77"/>
    </row>
    <row r="711" ht="13.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c r="AA711" s="77"/>
      <c r="AB711" s="77"/>
      <c r="AC711" s="77"/>
      <c r="AD711" s="77"/>
      <c r="AE711" s="77"/>
      <c r="AF711" s="77"/>
      <c r="AG711" s="77"/>
      <c r="AH711" s="77"/>
      <c r="AI711" s="77"/>
      <c r="AJ711" s="77"/>
      <c r="AK711" s="77"/>
      <c r="AL711" s="77"/>
      <c r="AM711" s="77"/>
      <c r="AN711" s="77"/>
      <c r="AO711" s="77"/>
    </row>
    <row r="712" ht="13.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c r="AA712" s="77"/>
      <c r="AB712" s="77"/>
      <c r="AC712" s="77"/>
      <c r="AD712" s="77"/>
      <c r="AE712" s="77"/>
      <c r="AF712" s="77"/>
      <c r="AG712" s="77"/>
      <c r="AH712" s="77"/>
      <c r="AI712" s="77"/>
      <c r="AJ712" s="77"/>
      <c r="AK712" s="77"/>
      <c r="AL712" s="77"/>
      <c r="AM712" s="77"/>
      <c r="AN712" s="77"/>
      <c r="AO712" s="77"/>
    </row>
    <row r="713" ht="13.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c r="AA713" s="77"/>
      <c r="AB713" s="77"/>
      <c r="AC713" s="77"/>
      <c r="AD713" s="77"/>
      <c r="AE713" s="77"/>
      <c r="AF713" s="77"/>
      <c r="AG713" s="77"/>
      <c r="AH713" s="77"/>
      <c r="AI713" s="77"/>
      <c r="AJ713" s="77"/>
      <c r="AK713" s="77"/>
      <c r="AL713" s="77"/>
      <c r="AM713" s="77"/>
      <c r="AN713" s="77"/>
      <c r="AO713" s="77"/>
    </row>
    <row r="714" ht="13.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c r="AA714" s="77"/>
      <c r="AB714" s="77"/>
      <c r="AC714" s="77"/>
      <c r="AD714" s="77"/>
      <c r="AE714" s="77"/>
      <c r="AF714" s="77"/>
      <c r="AG714" s="77"/>
      <c r="AH714" s="77"/>
      <c r="AI714" s="77"/>
      <c r="AJ714" s="77"/>
      <c r="AK714" s="77"/>
      <c r="AL714" s="77"/>
      <c r="AM714" s="77"/>
      <c r="AN714" s="77"/>
      <c r="AO714" s="77"/>
    </row>
    <row r="715" ht="13.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c r="AA715" s="77"/>
      <c r="AB715" s="77"/>
      <c r="AC715" s="77"/>
      <c r="AD715" s="77"/>
      <c r="AE715" s="77"/>
      <c r="AF715" s="77"/>
      <c r="AG715" s="77"/>
      <c r="AH715" s="77"/>
      <c r="AI715" s="77"/>
      <c r="AJ715" s="77"/>
      <c r="AK715" s="77"/>
      <c r="AL715" s="77"/>
      <c r="AM715" s="77"/>
      <c r="AN715" s="77"/>
      <c r="AO715" s="77"/>
    </row>
    <row r="716" ht="13.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c r="AA716" s="77"/>
      <c r="AB716" s="77"/>
      <c r="AC716" s="77"/>
      <c r="AD716" s="77"/>
      <c r="AE716" s="77"/>
      <c r="AF716" s="77"/>
      <c r="AG716" s="77"/>
      <c r="AH716" s="77"/>
      <c r="AI716" s="77"/>
      <c r="AJ716" s="77"/>
      <c r="AK716" s="77"/>
      <c r="AL716" s="77"/>
      <c r="AM716" s="77"/>
      <c r="AN716" s="77"/>
      <c r="AO716" s="77"/>
    </row>
    <row r="717" ht="13.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c r="AA717" s="77"/>
      <c r="AB717" s="77"/>
      <c r="AC717" s="77"/>
      <c r="AD717" s="77"/>
      <c r="AE717" s="77"/>
      <c r="AF717" s="77"/>
      <c r="AG717" s="77"/>
      <c r="AH717" s="77"/>
      <c r="AI717" s="77"/>
      <c r="AJ717" s="77"/>
      <c r="AK717" s="77"/>
      <c r="AL717" s="77"/>
      <c r="AM717" s="77"/>
      <c r="AN717" s="77"/>
      <c r="AO717" s="77"/>
    </row>
    <row r="718" ht="13.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c r="AA718" s="77"/>
      <c r="AB718" s="77"/>
      <c r="AC718" s="77"/>
      <c r="AD718" s="77"/>
      <c r="AE718" s="77"/>
      <c r="AF718" s="77"/>
      <c r="AG718" s="77"/>
      <c r="AH718" s="77"/>
      <c r="AI718" s="77"/>
      <c r="AJ718" s="77"/>
      <c r="AK718" s="77"/>
      <c r="AL718" s="77"/>
      <c r="AM718" s="77"/>
      <c r="AN718" s="77"/>
      <c r="AO718" s="77"/>
    </row>
    <row r="719" ht="13.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c r="AA719" s="77"/>
      <c r="AB719" s="77"/>
      <c r="AC719" s="77"/>
      <c r="AD719" s="77"/>
      <c r="AE719" s="77"/>
      <c r="AF719" s="77"/>
      <c r="AG719" s="77"/>
      <c r="AH719" s="77"/>
      <c r="AI719" s="77"/>
      <c r="AJ719" s="77"/>
      <c r="AK719" s="77"/>
      <c r="AL719" s="77"/>
      <c r="AM719" s="77"/>
      <c r="AN719" s="77"/>
      <c r="AO719" s="77"/>
    </row>
    <row r="720" ht="13.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c r="AA720" s="77"/>
      <c r="AB720" s="77"/>
      <c r="AC720" s="77"/>
      <c r="AD720" s="77"/>
      <c r="AE720" s="77"/>
      <c r="AF720" s="77"/>
      <c r="AG720" s="77"/>
      <c r="AH720" s="77"/>
      <c r="AI720" s="77"/>
      <c r="AJ720" s="77"/>
      <c r="AK720" s="77"/>
      <c r="AL720" s="77"/>
      <c r="AM720" s="77"/>
      <c r="AN720" s="77"/>
      <c r="AO720" s="77"/>
    </row>
    <row r="721" ht="13.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c r="AA721" s="77"/>
      <c r="AB721" s="77"/>
      <c r="AC721" s="77"/>
      <c r="AD721" s="77"/>
      <c r="AE721" s="77"/>
      <c r="AF721" s="77"/>
      <c r="AG721" s="77"/>
      <c r="AH721" s="77"/>
      <c r="AI721" s="77"/>
      <c r="AJ721" s="77"/>
      <c r="AK721" s="77"/>
      <c r="AL721" s="77"/>
      <c r="AM721" s="77"/>
      <c r="AN721" s="77"/>
      <c r="AO721" s="77"/>
    </row>
    <row r="722" ht="13.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c r="AA722" s="77"/>
      <c r="AB722" s="77"/>
      <c r="AC722" s="77"/>
      <c r="AD722" s="77"/>
      <c r="AE722" s="77"/>
      <c r="AF722" s="77"/>
      <c r="AG722" s="77"/>
      <c r="AH722" s="77"/>
      <c r="AI722" s="77"/>
      <c r="AJ722" s="77"/>
      <c r="AK722" s="77"/>
      <c r="AL722" s="77"/>
      <c r="AM722" s="77"/>
      <c r="AN722" s="77"/>
      <c r="AO722" s="77"/>
    </row>
    <row r="723" ht="13.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c r="AA723" s="77"/>
      <c r="AB723" s="77"/>
      <c r="AC723" s="77"/>
      <c r="AD723" s="77"/>
      <c r="AE723" s="77"/>
      <c r="AF723" s="77"/>
      <c r="AG723" s="77"/>
      <c r="AH723" s="77"/>
      <c r="AI723" s="77"/>
      <c r="AJ723" s="77"/>
      <c r="AK723" s="77"/>
      <c r="AL723" s="77"/>
      <c r="AM723" s="77"/>
      <c r="AN723" s="77"/>
      <c r="AO723" s="77"/>
    </row>
    <row r="724" ht="13.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c r="AA724" s="77"/>
      <c r="AB724" s="77"/>
      <c r="AC724" s="77"/>
      <c r="AD724" s="77"/>
      <c r="AE724" s="77"/>
      <c r="AF724" s="77"/>
      <c r="AG724" s="77"/>
      <c r="AH724" s="77"/>
      <c r="AI724" s="77"/>
      <c r="AJ724" s="77"/>
      <c r="AK724" s="77"/>
      <c r="AL724" s="77"/>
      <c r="AM724" s="77"/>
      <c r="AN724" s="77"/>
      <c r="AO724" s="77"/>
    </row>
    <row r="725" ht="13.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c r="AA725" s="77"/>
      <c r="AB725" s="77"/>
      <c r="AC725" s="77"/>
      <c r="AD725" s="77"/>
      <c r="AE725" s="77"/>
      <c r="AF725" s="77"/>
      <c r="AG725" s="77"/>
      <c r="AH725" s="77"/>
      <c r="AI725" s="77"/>
      <c r="AJ725" s="77"/>
      <c r="AK725" s="77"/>
      <c r="AL725" s="77"/>
      <c r="AM725" s="77"/>
      <c r="AN725" s="77"/>
      <c r="AO725" s="77"/>
    </row>
    <row r="726" ht="13.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c r="AA726" s="77"/>
      <c r="AB726" s="77"/>
      <c r="AC726" s="77"/>
      <c r="AD726" s="77"/>
      <c r="AE726" s="77"/>
      <c r="AF726" s="77"/>
      <c r="AG726" s="77"/>
      <c r="AH726" s="77"/>
      <c r="AI726" s="77"/>
      <c r="AJ726" s="77"/>
      <c r="AK726" s="77"/>
      <c r="AL726" s="77"/>
      <c r="AM726" s="77"/>
      <c r="AN726" s="77"/>
      <c r="AO726" s="77"/>
    </row>
    <row r="727" ht="13.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c r="AA727" s="77"/>
      <c r="AB727" s="77"/>
      <c r="AC727" s="77"/>
      <c r="AD727" s="77"/>
      <c r="AE727" s="77"/>
      <c r="AF727" s="77"/>
      <c r="AG727" s="77"/>
      <c r="AH727" s="77"/>
      <c r="AI727" s="77"/>
      <c r="AJ727" s="77"/>
      <c r="AK727" s="77"/>
      <c r="AL727" s="77"/>
      <c r="AM727" s="77"/>
      <c r="AN727" s="77"/>
      <c r="AO727" s="77"/>
    </row>
    <row r="728" ht="13.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c r="AA728" s="77"/>
      <c r="AB728" s="77"/>
      <c r="AC728" s="77"/>
      <c r="AD728" s="77"/>
      <c r="AE728" s="77"/>
      <c r="AF728" s="77"/>
      <c r="AG728" s="77"/>
      <c r="AH728" s="77"/>
      <c r="AI728" s="77"/>
      <c r="AJ728" s="77"/>
      <c r="AK728" s="77"/>
      <c r="AL728" s="77"/>
      <c r="AM728" s="77"/>
      <c r="AN728" s="77"/>
      <c r="AO728" s="77"/>
    </row>
    <row r="729" ht="13.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c r="AA729" s="77"/>
      <c r="AB729" s="77"/>
      <c r="AC729" s="77"/>
      <c r="AD729" s="77"/>
      <c r="AE729" s="77"/>
      <c r="AF729" s="77"/>
      <c r="AG729" s="77"/>
      <c r="AH729" s="77"/>
      <c r="AI729" s="77"/>
      <c r="AJ729" s="77"/>
      <c r="AK729" s="77"/>
      <c r="AL729" s="77"/>
      <c r="AM729" s="77"/>
      <c r="AN729" s="77"/>
      <c r="AO729" s="77"/>
    </row>
    <row r="730" ht="13.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c r="AA730" s="77"/>
      <c r="AB730" s="77"/>
      <c r="AC730" s="77"/>
      <c r="AD730" s="77"/>
      <c r="AE730" s="77"/>
      <c r="AF730" s="77"/>
      <c r="AG730" s="77"/>
      <c r="AH730" s="77"/>
      <c r="AI730" s="77"/>
      <c r="AJ730" s="77"/>
      <c r="AK730" s="77"/>
      <c r="AL730" s="77"/>
      <c r="AM730" s="77"/>
      <c r="AN730" s="77"/>
      <c r="AO730" s="77"/>
    </row>
    <row r="731" ht="13.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c r="AA731" s="77"/>
      <c r="AB731" s="77"/>
      <c r="AC731" s="77"/>
      <c r="AD731" s="77"/>
      <c r="AE731" s="77"/>
      <c r="AF731" s="77"/>
      <c r="AG731" s="77"/>
      <c r="AH731" s="77"/>
      <c r="AI731" s="77"/>
      <c r="AJ731" s="77"/>
      <c r="AK731" s="77"/>
      <c r="AL731" s="77"/>
      <c r="AM731" s="77"/>
      <c r="AN731" s="77"/>
      <c r="AO731" s="77"/>
    </row>
    <row r="732" ht="13.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c r="AA732" s="77"/>
      <c r="AB732" s="77"/>
      <c r="AC732" s="77"/>
      <c r="AD732" s="77"/>
      <c r="AE732" s="77"/>
      <c r="AF732" s="77"/>
      <c r="AG732" s="77"/>
      <c r="AH732" s="77"/>
      <c r="AI732" s="77"/>
      <c r="AJ732" s="77"/>
      <c r="AK732" s="77"/>
      <c r="AL732" s="77"/>
      <c r="AM732" s="77"/>
      <c r="AN732" s="77"/>
      <c r="AO732" s="77"/>
    </row>
    <row r="733" ht="13.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c r="AA733" s="77"/>
      <c r="AB733" s="77"/>
      <c r="AC733" s="77"/>
      <c r="AD733" s="77"/>
      <c r="AE733" s="77"/>
      <c r="AF733" s="77"/>
      <c r="AG733" s="77"/>
      <c r="AH733" s="77"/>
      <c r="AI733" s="77"/>
      <c r="AJ733" s="77"/>
      <c r="AK733" s="77"/>
      <c r="AL733" s="77"/>
      <c r="AM733" s="77"/>
      <c r="AN733" s="77"/>
      <c r="AO733" s="77"/>
    </row>
    <row r="734" ht="13.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c r="AA734" s="77"/>
      <c r="AB734" s="77"/>
      <c r="AC734" s="77"/>
      <c r="AD734" s="77"/>
      <c r="AE734" s="77"/>
      <c r="AF734" s="77"/>
      <c r="AG734" s="77"/>
      <c r="AH734" s="77"/>
      <c r="AI734" s="77"/>
      <c r="AJ734" s="77"/>
      <c r="AK734" s="77"/>
      <c r="AL734" s="77"/>
      <c r="AM734" s="77"/>
      <c r="AN734" s="77"/>
      <c r="AO734" s="77"/>
    </row>
    <row r="735" ht="13.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c r="AA735" s="77"/>
      <c r="AB735" s="77"/>
      <c r="AC735" s="77"/>
      <c r="AD735" s="77"/>
      <c r="AE735" s="77"/>
      <c r="AF735" s="77"/>
      <c r="AG735" s="77"/>
      <c r="AH735" s="77"/>
      <c r="AI735" s="77"/>
      <c r="AJ735" s="77"/>
      <c r="AK735" s="77"/>
      <c r="AL735" s="77"/>
      <c r="AM735" s="77"/>
      <c r="AN735" s="77"/>
      <c r="AO735" s="77"/>
    </row>
    <row r="736" ht="13.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c r="AA736" s="77"/>
      <c r="AB736" s="77"/>
      <c r="AC736" s="77"/>
      <c r="AD736" s="77"/>
      <c r="AE736" s="77"/>
      <c r="AF736" s="77"/>
      <c r="AG736" s="77"/>
      <c r="AH736" s="77"/>
      <c r="AI736" s="77"/>
      <c r="AJ736" s="77"/>
      <c r="AK736" s="77"/>
      <c r="AL736" s="77"/>
      <c r="AM736" s="77"/>
      <c r="AN736" s="77"/>
      <c r="AO736" s="77"/>
    </row>
    <row r="737" ht="13.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c r="AA737" s="77"/>
      <c r="AB737" s="77"/>
      <c r="AC737" s="77"/>
      <c r="AD737" s="77"/>
      <c r="AE737" s="77"/>
      <c r="AF737" s="77"/>
      <c r="AG737" s="77"/>
      <c r="AH737" s="77"/>
      <c r="AI737" s="77"/>
      <c r="AJ737" s="77"/>
      <c r="AK737" s="77"/>
      <c r="AL737" s="77"/>
      <c r="AM737" s="77"/>
      <c r="AN737" s="77"/>
      <c r="AO737" s="77"/>
    </row>
    <row r="738" ht="13.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c r="AA738" s="77"/>
      <c r="AB738" s="77"/>
      <c r="AC738" s="77"/>
      <c r="AD738" s="77"/>
      <c r="AE738" s="77"/>
      <c r="AF738" s="77"/>
      <c r="AG738" s="77"/>
      <c r="AH738" s="77"/>
      <c r="AI738" s="77"/>
      <c r="AJ738" s="77"/>
      <c r="AK738" s="77"/>
      <c r="AL738" s="77"/>
      <c r="AM738" s="77"/>
      <c r="AN738" s="77"/>
      <c r="AO738" s="77"/>
    </row>
    <row r="739" ht="13.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c r="AA739" s="77"/>
      <c r="AB739" s="77"/>
      <c r="AC739" s="77"/>
      <c r="AD739" s="77"/>
      <c r="AE739" s="77"/>
      <c r="AF739" s="77"/>
      <c r="AG739" s="77"/>
      <c r="AH739" s="77"/>
      <c r="AI739" s="77"/>
      <c r="AJ739" s="77"/>
      <c r="AK739" s="77"/>
      <c r="AL739" s="77"/>
      <c r="AM739" s="77"/>
      <c r="AN739" s="77"/>
      <c r="AO739" s="77"/>
    </row>
    <row r="740" ht="13.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c r="AA740" s="77"/>
      <c r="AB740" s="77"/>
      <c r="AC740" s="77"/>
      <c r="AD740" s="77"/>
      <c r="AE740" s="77"/>
      <c r="AF740" s="77"/>
      <c r="AG740" s="77"/>
      <c r="AH740" s="77"/>
      <c r="AI740" s="77"/>
      <c r="AJ740" s="77"/>
      <c r="AK740" s="77"/>
      <c r="AL740" s="77"/>
      <c r="AM740" s="77"/>
      <c r="AN740" s="77"/>
      <c r="AO740" s="77"/>
    </row>
    <row r="741" ht="13.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c r="AA741" s="77"/>
      <c r="AB741" s="77"/>
      <c r="AC741" s="77"/>
      <c r="AD741" s="77"/>
      <c r="AE741" s="77"/>
      <c r="AF741" s="77"/>
      <c r="AG741" s="77"/>
      <c r="AH741" s="77"/>
      <c r="AI741" s="77"/>
      <c r="AJ741" s="77"/>
      <c r="AK741" s="77"/>
      <c r="AL741" s="77"/>
      <c r="AM741" s="77"/>
      <c r="AN741" s="77"/>
      <c r="AO741" s="77"/>
    </row>
    <row r="742" ht="13.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c r="AA742" s="77"/>
      <c r="AB742" s="77"/>
      <c r="AC742" s="77"/>
      <c r="AD742" s="77"/>
      <c r="AE742" s="77"/>
      <c r="AF742" s="77"/>
      <c r="AG742" s="77"/>
      <c r="AH742" s="77"/>
      <c r="AI742" s="77"/>
      <c r="AJ742" s="77"/>
      <c r="AK742" s="77"/>
      <c r="AL742" s="77"/>
      <c r="AM742" s="77"/>
      <c r="AN742" s="77"/>
      <c r="AO742" s="77"/>
    </row>
    <row r="743" ht="13.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c r="AA743" s="77"/>
      <c r="AB743" s="77"/>
      <c r="AC743" s="77"/>
      <c r="AD743" s="77"/>
      <c r="AE743" s="77"/>
      <c r="AF743" s="77"/>
      <c r="AG743" s="77"/>
      <c r="AH743" s="77"/>
      <c r="AI743" s="77"/>
      <c r="AJ743" s="77"/>
      <c r="AK743" s="77"/>
      <c r="AL743" s="77"/>
      <c r="AM743" s="77"/>
      <c r="AN743" s="77"/>
      <c r="AO743" s="77"/>
    </row>
    <row r="744" ht="13.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c r="AA744" s="77"/>
      <c r="AB744" s="77"/>
      <c r="AC744" s="77"/>
      <c r="AD744" s="77"/>
      <c r="AE744" s="77"/>
      <c r="AF744" s="77"/>
      <c r="AG744" s="77"/>
      <c r="AH744" s="77"/>
      <c r="AI744" s="77"/>
      <c r="AJ744" s="77"/>
      <c r="AK744" s="77"/>
      <c r="AL744" s="77"/>
      <c r="AM744" s="77"/>
      <c r="AN744" s="77"/>
      <c r="AO744" s="77"/>
    </row>
    <row r="745" ht="13.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c r="AA745" s="77"/>
      <c r="AB745" s="77"/>
      <c r="AC745" s="77"/>
      <c r="AD745" s="77"/>
      <c r="AE745" s="77"/>
      <c r="AF745" s="77"/>
      <c r="AG745" s="77"/>
      <c r="AH745" s="77"/>
      <c r="AI745" s="77"/>
      <c r="AJ745" s="77"/>
      <c r="AK745" s="77"/>
      <c r="AL745" s="77"/>
      <c r="AM745" s="77"/>
      <c r="AN745" s="77"/>
      <c r="AO745" s="77"/>
    </row>
    <row r="746" ht="13.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c r="AA746" s="77"/>
      <c r="AB746" s="77"/>
      <c r="AC746" s="77"/>
      <c r="AD746" s="77"/>
      <c r="AE746" s="77"/>
      <c r="AF746" s="77"/>
      <c r="AG746" s="77"/>
      <c r="AH746" s="77"/>
      <c r="AI746" s="77"/>
      <c r="AJ746" s="77"/>
      <c r="AK746" s="77"/>
      <c r="AL746" s="77"/>
      <c r="AM746" s="77"/>
      <c r="AN746" s="77"/>
      <c r="AO746" s="77"/>
    </row>
    <row r="747" ht="13.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c r="AA747" s="77"/>
      <c r="AB747" s="77"/>
      <c r="AC747" s="77"/>
      <c r="AD747" s="77"/>
      <c r="AE747" s="77"/>
      <c r="AF747" s="77"/>
      <c r="AG747" s="77"/>
      <c r="AH747" s="77"/>
      <c r="AI747" s="77"/>
      <c r="AJ747" s="77"/>
      <c r="AK747" s="77"/>
      <c r="AL747" s="77"/>
      <c r="AM747" s="77"/>
      <c r="AN747" s="77"/>
      <c r="AO747" s="77"/>
    </row>
    <row r="748" ht="13.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c r="AA748" s="77"/>
      <c r="AB748" s="77"/>
      <c r="AC748" s="77"/>
      <c r="AD748" s="77"/>
      <c r="AE748" s="77"/>
      <c r="AF748" s="77"/>
      <c r="AG748" s="77"/>
      <c r="AH748" s="77"/>
      <c r="AI748" s="77"/>
      <c r="AJ748" s="77"/>
      <c r="AK748" s="77"/>
      <c r="AL748" s="77"/>
      <c r="AM748" s="77"/>
      <c r="AN748" s="77"/>
      <c r="AO748" s="77"/>
    </row>
    <row r="749" ht="13.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c r="AA749" s="77"/>
      <c r="AB749" s="77"/>
      <c r="AC749" s="77"/>
      <c r="AD749" s="77"/>
      <c r="AE749" s="77"/>
      <c r="AF749" s="77"/>
      <c r="AG749" s="77"/>
      <c r="AH749" s="77"/>
      <c r="AI749" s="77"/>
      <c r="AJ749" s="77"/>
      <c r="AK749" s="77"/>
      <c r="AL749" s="77"/>
      <c r="AM749" s="77"/>
      <c r="AN749" s="77"/>
      <c r="AO749" s="77"/>
    </row>
    <row r="750" ht="13.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c r="AA750" s="77"/>
      <c r="AB750" s="77"/>
      <c r="AC750" s="77"/>
      <c r="AD750" s="77"/>
      <c r="AE750" s="77"/>
      <c r="AF750" s="77"/>
      <c r="AG750" s="77"/>
      <c r="AH750" s="77"/>
      <c r="AI750" s="77"/>
      <c r="AJ750" s="77"/>
      <c r="AK750" s="77"/>
      <c r="AL750" s="77"/>
      <c r="AM750" s="77"/>
      <c r="AN750" s="77"/>
      <c r="AO750" s="77"/>
    </row>
    <row r="751" ht="13.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c r="AA751" s="77"/>
      <c r="AB751" s="77"/>
      <c r="AC751" s="77"/>
      <c r="AD751" s="77"/>
      <c r="AE751" s="77"/>
      <c r="AF751" s="77"/>
      <c r="AG751" s="77"/>
      <c r="AH751" s="77"/>
      <c r="AI751" s="77"/>
      <c r="AJ751" s="77"/>
      <c r="AK751" s="77"/>
      <c r="AL751" s="77"/>
      <c r="AM751" s="77"/>
      <c r="AN751" s="77"/>
      <c r="AO751" s="77"/>
    </row>
    <row r="752" ht="13.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c r="AA752" s="77"/>
      <c r="AB752" s="77"/>
      <c r="AC752" s="77"/>
      <c r="AD752" s="77"/>
      <c r="AE752" s="77"/>
      <c r="AF752" s="77"/>
      <c r="AG752" s="77"/>
      <c r="AH752" s="77"/>
      <c r="AI752" s="77"/>
      <c r="AJ752" s="77"/>
      <c r="AK752" s="77"/>
      <c r="AL752" s="77"/>
      <c r="AM752" s="77"/>
      <c r="AN752" s="77"/>
      <c r="AO752" s="77"/>
    </row>
    <row r="753" ht="13.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c r="AA753" s="77"/>
      <c r="AB753" s="77"/>
      <c r="AC753" s="77"/>
      <c r="AD753" s="77"/>
      <c r="AE753" s="77"/>
      <c r="AF753" s="77"/>
      <c r="AG753" s="77"/>
      <c r="AH753" s="77"/>
      <c r="AI753" s="77"/>
      <c r="AJ753" s="77"/>
      <c r="AK753" s="77"/>
      <c r="AL753" s="77"/>
      <c r="AM753" s="77"/>
      <c r="AN753" s="77"/>
      <c r="AO753" s="77"/>
    </row>
    <row r="754" ht="13.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c r="AA754" s="77"/>
      <c r="AB754" s="77"/>
      <c r="AC754" s="77"/>
      <c r="AD754" s="77"/>
      <c r="AE754" s="77"/>
      <c r="AF754" s="77"/>
      <c r="AG754" s="77"/>
      <c r="AH754" s="77"/>
      <c r="AI754" s="77"/>
      <c r="AJ754" s="77"/>
      <c r="AK754" s="77"/>
      <c r="AL754" s="77"/>
      <c r="AM754" s="77"/>
      <c r="AN754" s="77"/>
      <c r="AO754" s="77"/>
    </row>
    <row r="755" ht="13.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c r="AA755" s="77"/>
      <c r="AB755" s="77"/>
      <c r="AC755" s="77"/>
      <c r="AD755" s="77"/>
      <c r="AE755" s="77"/>
      <c r="AF755" s="77"/>
      <c r="AG755" s="77"/>
      <c r="AH755" s="77"/>
      <c r="AI755" s="77"/>
      <c r="AJ755" s="77"/>
      <c r="AK755" s="77"/>
      <c r="AL755" s="77"/>
      <c r="AM755" s="77"/>
      <c r="AN755" s="77"/>
      <c r="AO755" s="77"/>
    </row>
    <row r="756" ht="13.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c r="AA756" s="77"/>
      <c r="AB756" s="77"/>
      <c r="AC756" s="77"/>
      <c r="AD756" s="77"/>
      <c r="AE756" s="77"/>
      <c r="AF756" s="77"/>
      <c r="AG756" s="77"/>
      <c r="AH756" s="77"/>
      <c r="AI756" s="77"/>
      <c r="AJ756" s="77"/>
      <c r="AK756" s="77"/>
      <c r="AL756" s="77"/>
      <c r="AM756" s="77"/>
      <c r="AN756" s="77"/>
      <c r="AO756" s="77"/>
    </row>
    <row r="757" ht="13.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c r="AA757" s="77"/>
      <c r="AB757" s="77"/>
      <c r="AC757" s="77"/>
      <c r="AD757" s="77"/>
      <c r="AE757" s="77"/>
      <c r="AF757" s="77"/>
      <c r="AG757" s="77"/>
      <c r="AH757" s="77"/>
      <c r="AI757" s="77"/>
      <c r="AJ757" s="77"/>
      <c r="AK757" s="77"/>
      <c r="AL757" s="77"/>
      <c r="AM757" s="77"/>
      <c r="AN757" s="77"/>
      <c r="AO757" s="77"/>
    </row>
    <row r="758" ht="13.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c r="AA758" s="77"/>
      <c r="AB758" s="77"/>
      <c r="AC758" s="77"/>
      <c r="AD758" s="77"/>
      <c r="AE758" s="77"/>
      <c r="AF758" s="77"/>
      <c r="AG758" s="77"/>
      <c r="AH758" s="77"/>
      <c r="AI758" s="77"/>
      <c r="AJ758" s="77"/>
      <c r="AK758" s="77"/>
      <c r="AL758" s="77"/>
      <c r="AM758" s="77"/>
      <c r="AN758" s="77"/>
      <c r="AO758" s="77"/>
    </row>
    <row r="759" ht="13.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c r="AA759" s="77"/>
      <c r="AB759" s="77"/>
      <c r="AC759" s="77"/>
      <c r="AD759" s="77"/>
      <c r="AE759" s="77"/>
      <c r="AF759" s="77"/>
      <c r="AG759" s="77"/>
      <c r="AH759" s="77"/>
      <c r="AI759" s="77"/>
      <c r="AJ759" s="77"/>
      <c r="AK759" s="77"/>
      <c r="AL759" s="77"/>
      <c r="AM759" s="77"/>
      <c r="AN759" s="77"/>
      <c r="AO759" s="77"/>
    </row>
    <row r="760" ht="13.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c r="AA760" s="77"/>
      <c r="AB760" s="77"/>
      <c r="AC760" s="77"/>
      <c r="AD760" s="77"/>
      <c r="AE760" s="77"/>
      <c r="AF760" s="77"/>
      <c r="AG760" s="77"/>
      <c r="AH760" s="77"/>
      <c r="AI760" s="77"/>
      <c r="AJ760" s="77"/>
      <c r="AK760" s="77"/>
      <c r="AL760" s="77"/>
      <c r="AM760" s="77"/>
      <c r="AN760" s="77"/>
      <c r="AO760" s="77"/>
    </row>
    <row r="761" ht="13.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c r="AA761" s="77"/>
      <c r="AB761" s="77"/>
      <c r="AC761" s="77"/>
      <c r="AD761" s="77"/>
      <c r="AE761" s="77"/>
      <c r="AF761" s="77"/>
      <c r="AG761" s="77"/>
      <c r="AH761" s="77"/>
      <c r="AI761" s="77"/>
      <c r="AJ761" s="77"/>
      <c r="AK761" s="77"/>
      <c r="AL761" s="77"/>
      <c r="AM761" s="77"/>
      <c r="AN761" s="77"/>
      <c r="AO761" s="77"/>
    </row>
    <row r="762" ht="13.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c r="AA762" s="77"/>
      <c r="AB762" s="77"/>
      <c r="AC762" s="77"/>
      <c r="AD762" s="77"/>
      <c r="AE762" s="77"/>
      <c r="AF762" s="77"/>
      <c r="AG762" s="77"/>
      <c r="AH762" s="77"/>
      <c r="AI762" s="77"/>
      <c r="AJ762" s="77"/>
      <c r="AK762" s="77"/>
      <c r="AL762" s="77"/>
      <c r="AM762" s="77"/>
      <c r="AN762" s="77"/>
      <c r="AO762" s="77"/>
    </row>
    <row r="763" ht="13.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c r="AA763" s="77"/>
      <c r="AB763" s="77"/>
      <c r="AC763" s="77"/>
      <c r="AD763" s="77"/>
      <c r="AE763" s="77"/>
      <c r="AF763" s="77"/>
      <c r="AG763" s="77"/>
      <c r="AH763" s="77"/>
      <c r="AI763" s="77"/>
      <c r="AJ763" s="77"/>
      <c r="AK763" s="77"/>
      <c r="AL763" s="77"/>
      <c r="AM763" s="77"/>
      <c r="AN763" s="77"/>
      <c r="AO763" s="77"/>
    </row>
    <row r="764" ht="13.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c r="AA764" s="77"/>
      <c r="AB764" s="77"/>
      <c r="AC764" s="77"/>
      <c r="AD764" s="77"/>
      <c r="AE764" s="77"/>
      <c r="AF764" s="77"/>
      <c r="AG764" s="77"/>
      <c r="AH764" s="77"/>
      <c r="AI764" s="77"/>
      <c r="AJ764" s="77"/>
      <c r="AK764" s="77"/>
      <c r="AL764" s="77"/>
      <c r="AM764" s="77"/>
      <c r="AN764" s="77"/>
      <c r="AO764" s="77"/>
    </row>
    <row r="765" ht="13.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c r="AA765" s="77"/>
      <c r="AB765" s="77"/>
      <c r="AC765" s="77"/>
      <c r="AD765" s="77"/>
      <c r="AE765" s="77"/>
      <c r="AF765" s="77"/>
      <c r="AG765" s="77"/>
      <c r="AH765" s="77"/>
      <c r="AI765" s="77"/>
      <c r="AJ765" s="77"/>
      <c r="AK765" s="77"/>
      <c r="AL765" s="77"/>
      <c r="AM765" s="77"/>
      <c r="AN765" s="77"/>
      <c r="AO765" s="77"/>
    </row>
    <row r="766" ht="13.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c r="AA766" s="77"/>
      <c r="AB766" s="77"/>
      <c r="AC766" s="77"/>
      <c r="AD766" s="77"/>
      <c r="AE766" s="77"/>
      <c r="AF766" s="77"/>
      <c r="AG766" s="77"/>
      <c r="AH766" s="77"/>
      <c r="AI766" s="77"/>
      <c r="AJ766" s="77"/>
      <c r="AK766" s="77"/>
      <c r="AL766" s="77"/>
      <c r="AM766" s="77"/>
      <c r="AN766" s="77"/>
      <c r="AO766" s="77"/>
    </row>
    <row r="767" ht="13.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c r="AA767" s="77"/>
      <c r="AB767" s="77"/>
      <c r="AC767" s="77"/>
      <c r="AD767" s="77"/>
      <c r="AE767" s="77"/>
      <c r="AF767" s="77"/>
      <c r="AG767" s="77"/>
      <c r="AH767" s="77"/>
      <c r="AI767" s="77"/>
      <c r="AJ767" s="77"/>
      <c r="AK767" s="77"/>
      <c r="AL767" s="77"/>
      <c r="AM767" s="77"/>
      <c r="AN767" s="77"/>
      <c r="AO767" s="77"/>
    </row>
    <row r="768" ht="13.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c r="AA768" s="77"/>
      <c r="AB768" s="77"/>
      <c r="AC768" s="77"/>
      <c r="AD768" s="77"/>
      <c r="AE768" s="77"/>
      <c r="AF768" s="77"/>
      <c r="AG768" s="77"/>
      <c r="AH768" s="77"/>
      <c r="AI768" s="77"/>
      <c r="AJ768" s="77"/>
      <c r="AK768" s="77"/>
      <c r="AL768" s="77"/>
      <c r="AM768" s="77"/>
      <c r="AN768" s="77"/>
      <c r="AO768" s="77"/>
    </row>
    <row r="769" ht="13.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c r="AA769" s="77"/>
      <c r="AB769" s="77"/>
      <c r="AC769" s="77"/>
      <c r="AD769" s="77"/>
      <c r="AE769" s="77"/>
      <c r="AF769" s="77"/>
      <c r="AG769" s="77"/>
      <c r="AH769" s="77"/>
      <c r="AI769" s="77"/>
      <c r="AJ769" s="77"/>
      <c r="AK769" s="77"/>
      <c r="AL769" s="77"/>
      <c r="AM769" s="77"/>
      <c r="AN769" s="77"/>
      <c r="AO769" s="77"/>
    </row>
    <row r="770" ht="13.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c r="AA770" s="77"/>
      <c r="AB770" s="77"/>
      <c r="AC770" s="77"/>
      <c r="AD770" s="77"/>
      <c r="AE770" s="77"/>
      <c r="AF770" s="77"/>
      <c r="AG770" s="77"/>
      <c r="AH770" s="77"/>
      <c r="AI770" s="77"/>
      <c r="AJ770" s="77"/>
      <c r="AK770" s="77"/>
      <c r="AL770" s="77"/>
      <c r="AM770" s="77"/>
      <c r="AN770" s="77"/>
      <c r="AO770" s="77"/>
    </row>
    <row r="771" ht="13.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c r="AA771" s="77"/>
      <c r="AB771" s="77"/>
      <c r="AC771" s="77"/>
      <c r="AD771" s="77"/>
      <c r="AE771" s="77"/>
      <c r="AF771" s="77"/>
      <c r="AG771" s="77"/>
      <c r="AH771" s="77"/>
      <c r="AI771" s="77"/>
      <c r="AJ771" s="77"/>
      <c r="AK771" s="77"/>
      <c r="AL771" s="77"/>
      <c r="AM771" s="77"/>
      <c r="AN771" s="77"/>
      <c r="AO771" s="77"/>
    </row>
    <row r="772" ht="13.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c r="AA772" s="77"/>
      <c r="AB772" s="77"/>
      <c r="AC772" s="77"/>
      <c r="AD772" s="77"/>
      <c r="AE772" s="77"/>
      <c r="AF772" s="77"/>
      <c r="AG772" s="77"/>
      <c r="AH772" s="77"/>
      <c r="AI772" s="77"/>
      <c r="AJ772" s="77"/>
      <c r="AK772" s="77"/>
      <c r="AL772" s="77"/>
      <c r="AM772" s="77"/>
      <c r="AN772" s="77"/>
      <c r="AO772" s="77"/>
    </row>
    <row r="773" ht="13.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c r="AA773" s="77"/>
      <c r="AB773" s="77"/>
      <c r="AC773" s="77"/>
      <c r="AD773" s="77"/>
      <c r="AE773" s="77"/>
      <c r="AF773" s="77"/>
      <c r="AG773" s="77"/>
      <c r="AH773" s="77"/>
      <c r="AI773" s="77"/>
      <c r="AJ773" s="77"/>
      <c r="AK773" s="77"/>
      <c r="AL773" s="77"/>
      <c r="AM773" s="77"/>
      <c r="AN773" s="77"/>
      <c r="AO773" s="77"/>
    </row>
    <row r="774" ht="13.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c r="AA774" s="77"/>
      <c r="AB774" s="77"/>
      <c r="AC774" s="77"/>
      <c r="AD774" s="77"/>
      <c r="AE774" s="77"/>
      <c r="AF774" s="77"/>
      <c r="AG774" s="77"/>
      <c r="AH774" s="77"/>
      <c r="AI774" s="77"/>
      <c r="AJ774" s="77"/>
      <c r="AK774" s="77"/>
      <c r="AL774" s="77"/>
      <c r="AM774" s="77"/>
      <c r="AN774" s="77"/>
      <c r="AO774" s="77"/>
    </row>
    <row r="775" ht="13.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c r="AA775" s="77"/>
      <c r="AB775" s="77"/>
      <c r="AC775" s="77"/>
      <c r="AD775" s="77"/>
      <c r="AE775" s="77"/>
      <c r="AF775" s="77"/>
      <c r="AG775" s="77"/>
      <c r="AH775" s="77"/>
      <c r="AI775" s="77"/>
      <c r="AJ775" s="77"/>
      <c r="AK775" s="77"/>
      <c r="AL775" s="77"/>
      <c r="AM775" s="77"/>
      <c r="AN775" s="77"/>
      <c r="AO775" s="77"/>
    </row>
    <row r="776" ht="13.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c r="AA776" s="77"/>
      <c r="AB776" s="77"/>
      <c r="AC776" s="77"/>
      <c r="AD776" s="77"/>
      <c r="AE776" s="77"/>
      <c r="AF776" s="77"/>
      <c r="AG776" s="77"/>
      <c r="AH776" s="77"/>
      <c r="AI776" s="77"/>
      <c r="AJ776" s="77"/>
      <c r="AK776" s="77"/>
      <c r="AL776" s="77"/>
      <c r="AM776" s="77"/>
      <c r="AN776" s="77"/>
      <c r="AO776" s="77"/>
    </row>
    <row r="777" ht="13.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c r="AA777" s="77"/>
      <c r="AB777" s="77"/>
      <c r="AC777" s="77"/>
      <c r="AD777" s="77"/>
      <c r="AE777" s="77"/>
      <c r="AF777" s="77"/>
      <c r="AG777" s="77"/>
      <c r="AH777" s="77"/>
      <c r="AI777" s="77"/>
      <c r="AJ777" s="77"/>
      <c r="AK777" s="77"/>
      <c r="AL777" s="77"/>
      <c r="AM777" s="77"/>
      <c r="AN777" s="77"/>
      <c r="AO777" s="77"/>
    </row>
    <row r="778" ht="13.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c r="AA778" s="77"/>
      <c r="AB778" s="77"/>
      <c r="AC778" s="77"/>
      <c r="AD778" s="77"/>
      <c r="AE778" s="77"/>
      <c r="AF778" s="77"/>
      <c r="AG778" s="77"/>
      <c r="AH778" s="77"/>
      <c r="AI778" s="77"/>
      <c r="AJ778" s="77"/>
      <c r="AK778" s="77"/>
      <c r="AL778" s="77"/>
      <c r="AM778" s="77"/>
      <c r="AN778" s="77"/>
      <c r="AO778" s="77"/>
    </row>
    <row r="779" ht="13.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c r="AA779" s="77"/>
      <c r="AB779" s="77"/>
      <c r="AC779" s="77"/>
      <c r="AD779" s="77"/>
      <c r="AE779" s="77"/>
      <c r="AF779" s="77"/>
      <c r="AG779" s="77"/>
      <c r="AH779" s="77"/>
      <c r="AI779" s="77"/>
      <c r="AJ779" s="77"/>
      <c r="AK779" s="77"/>
      <c r="AL779" s="77"/>
      <c r="AM779" s="77"/>
      <c r="AN779" s="77"/>
      <c r="AO779" s="77"/>
    </row>
    <row r="780" ht="13.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c r="AA780" s="77"/>
      <c r="AB780" s="77"/>
      <c r="AC780" s="77"/>
      <c r="AD780" s="77"/>
      <c r="AE780" s="77"/>
      <c r="AF780" s="77"/>
      <c r="AG780" s="77"/>
      <c r="AH780" s="77"/>
      <c r="AI780" s="77"/>
      <c r="AJ780" s="77"/>
      <c r="AK780" s="77"/>
      <c r="AL780" s="77"/>
      <c r="AM780" s="77"/>
      <c r="AN780" s="77"/>
      <c r="AO780" s="77"/>
    </row>
    <row r="781" ht="13.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c r="AA781" s="77"/>
      <c r="AB781" s="77"/>
      <c r="AC781" s="77"/>
      <c r="AD781" s="77"/>
      <c r="AE781" s="77"/>
      <c r="AF781" s="77"/>
      <c r="AG781" s="77"/>
      <c r="AH781" s="77"/>
      <c r="AI781" s="77"/>
      <c r="AJ781" s="77"/>
      <c r="AK781" s="77"/>
      <c r="AL781" s="77"/>
      <c r="AM781" s="77"/>
      <c r="AN781" s="77"/>
      <c r="AO781" s="77"/>
    </row>
    <row r="782" ht="13.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c r="AA782" s="77"/>
      <c r="AB782" s="77"/>
      <c r="AC782" s="77"/>
      <c r="AD782" s="77"/>
      <c r="AE782" s="77"/>
      <c r="AF782" s="77"/>
      <c r="AG782" s="77"/>
      <c r="AH782" s="77"/>
      <c r="AI782" s="77"/>
      <c r="AJ782" s="77"/>
      <c r="AK782" s="77"/>
      <c r="AL782" s="77"/>
      <c r="AM782" s="77"/>
      <c r="AN782" s="77"/>
      <c r="AO782" s="77"/>
    </row>
    <row r="783" ht="13.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c r="AA783" s="77"/>
      <c r="AB783" s="77"/>
      <c r="AC783" s="77"/>
      <c r="AD783" s="77"/>
      <c r="AE783" s="77"/>
      <c r="AF783" s="77"/>
      <c r="AG783" s="77"/>
      <c r="AH783" s="77"/>
      <c r="AI783" s="77"/>
      <c r="AJ783" s="77"/>
      <c r="AK783" s="77"/>
      <c r="AL783" s="77"/>
      <c r="AM783" s="77"/>
      <c r="AN783" s="77"/>
      <c r="AO783" s="77"/>
    </row>
    <row r="784" ht="13.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c r="AA784" s="77"/>
      <c r="AB784" s="77"/>
      <c r="AC784" s="77"/>
      <c r="AD784" s="77"/>
      <c r="AE784" s="77"/>
      <c r="AF784" s="77"/>
      <c r="AG784" s="77"/>
      <c r="AH784" s="77"/>
      <c r="AI784" s="77"/>
      <c r="AJ784" s="77"/>
      <c r="AK784" s="77"/>
      <c r="AL784" s="77"/>
      <c r="AM784" s="77"/>
      <c r="AN784" s="77"/>
      <c r="AO784" s="77"/>
    </row>
    <row r="785" ht="13.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c r="AA785" s="77"/>
      <c r="AB785" s="77"/>
      <c r="AC785" s="77"/>
      <c r="AD785" s="77"/>
      <c r="AE785" s="77"/>
      <c r="AF785" s="77"/>
      <c r="AG785" s="77"/>
      <c r="AH785" s="77"/>
      <c r="AI785" s="77"/>
      <c r="AJ785" s="77"/>
      <c r="AK785" s="77"/>
      <c r="AL785" s="77"/>
      <c r="AM785" s="77"/>
      <c r="AN785" s="77"/>
      <c r="AO785" s="77"/>
    </row>
    <row r="786" ht="13.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c r="AA786" s="77"/>
      <c r="AB786" s="77"/>
      <c r="AC786" s="77"/>
      <c r="AD786" s="77"/>
      <c r="AE786" s="77"/>
      <c r="AF786" s="77"/>
      <c r="AG786" s="77"/>
      <c r="AH786" s="77"/>
      <c r="AI786" s="77"/>
      <c r="AJ786" s="77"/>
      <c r="AK786" s="77"/>
      <c r="AL786" s="77"/>
      <c r="AM786" s="77"/>
      <c r="AN786" s="77"/>
      <c r="AO786" s="77"/>
    </row>
    <row r="787" ht="13.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c r="AA787" s="77"/>
      <c r="AB787" s="77"/>
      <c r="AC787" s="77"/>
      <c r="AD787" s="77"/>
      <c r="AE787" s="77"/>
      <c r="AF787" s="77"/>
      <c r="AG787" s="77"/>
      <c r="AH787" s="77"/>
      <c r="AI787" s="77"/>
      <c r="AJ787" s="77"/>
      <c r="AK787" s="77"/>
      <c r="AL787" s="77"/>
      <c r="AM787" s="77"/>
      <c r="AN787" s="77"/>
      <c r="AO787" s="77"/>
    </row>
    <row r="788" ht="13.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c r="AA788" s="77"/>
      <c r="AB788" s="77"/>
      <c r="AC788" s="77"/>
      <c r="AD788" s="77"/>
      <c r="AE788" s="77"/>
      <c r="AF788" s="77"/>
      <c r="AG788" s="77"/>
      <c r="AH788" s="77"/>
      <c r="AI788" s="77"/>
      <c r="AJ788" s="77"/>
      <c r="AK788" s="77"/>
      <c r="AL788" s="77"/>
      <c r="AM788" s="77"/>
      <c r="AN788" s="77"/>
      <c r="AO788" s="77"/>
    </row>
    <row r="789" ht="13.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c r="AA789" s="77"/>
      <c r="AB789" s="77"/>
      <c r="AC789" s="77"/>
      <c r="AD789" s="77"/>
      <c r="AE789" s="77"/>
      <c r="AF789" s="77"/>
      <c r="AG789" s="77"/>
      <c r="AH789" s="77"/>
      <c r="AI789" s="77"/>
      <c r="AJ789" s="77"/>
      <c r="AK789" s="77"/>
      <c r="AL789" s="77"/>
      <c r="AM789" s="77"/>
      <c r="AN789" s="77"/>
      <c r="AO789" s="77"/>
    </row>
    <row r="790" ht="13.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c r="AA790" s="77"/>
      <c r="AB790" s="77"/>
      <c r="AC790" s="77"/>
      <c r="AD790" s="77"/>
      <c r="AE790" s="77"/>
      <c r="AF790" s="77"/>
      <c r="AG790" s="77"/>
      <c r="AH790" s="77"/>
      <c r="AI790" s="77"/>
      <c r="AJ790" s="77"/>
      <c r="AK790" s="77"/>
      <c r="AL790" s="77"/>
      <c r="AM790" s="77"/>
      <c r="AN790" s="77"/>
      <c r="AO790" s="77"/>
    </row>
    <row r="791" ht="13.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c r="AA791" s="77"/>
      <c r="AB791" s="77"/>
      <c r="AC791" s="77"/>
      <c r="AD791" s="77"/>
      <c r="AE791" s="77"/>
      <c r="AF791" s="77"/>
      <c r="AG791" s="77"/>
      <c r="AH791" s="77"/>
      <c r="AI791" s="77"/>
      <c r="AJ791" s="77"/>
      <c r="AK791" s="77"/>
      <c r="AL791" s="77"/>
      <c r="AM791" s="77"/>
      <c r="AN791" s="77"/>
      <c r="AO791" s="77"/>
    </row>
    <row r="792" ht="13.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c r="AA792" s="77"/>
      <c r="AB792" s="77"/>
      <c r="AC792" s="77"/>
      <c r="AD792" s="77"/>
      <c r="AE792" s="77"/>
      <c r="AF792" s="77"/>
      <c r="AG792" s="77"/>
      <c r="AH792" s="77"/>
      <c r="AI792" s="77"/>
      <c r="AJ792" s="77"/>
      <c r="AK792" s="77"/>
      <c r="AL792" s="77"/>
      <c r="AM792" s="77"/>
      <c r="AN792" s="77"/>
      <c r="AO792" s="77"/>
    </row>
    <row r="793" ht="13.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c r="AA793" s="77"/>
      <c r="AB793" s="77"/>
      <c r="AC793" s="77"/>
      <c r="AD793" s="77"/>
      <c r="AE793" s="77"/>
      <c r="AF793" s="77"/>
      <c r="AG793" s="77"/>
      <c r="AH793" s="77"/>
      <c r="AI793" s="77"/>
      <c r="AJ793" s="77"/>
      <c r="AK793" s="77"/>
      <c r="AL793" s="77"/>
      <c r="AM793" s="77"/>
      <c r="AN793" s="77"/>
      <c r="AO793" s="77"/>
    </row>
    <row r="794" ht="13.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c r="AA794" s="77"/>
      <c r="AB794" s="77"/>
      <c r="AC794" s="77"/>
      <c r="AD794" s="77"/>
      <c r="AE794" s="77"/>
      <c r="AF794" s="77"/>
      <c r="AG794" s="77"/>
      <c r="AH794" s="77"/>
      <c r="AI794" s="77"/>
      <c r="AJ794" s="77"/>
      <c r="AK794" s="77"/>
      <c r="AL794" s="77"/>
      <c r="AM794" s="77"/>
      <c r="AN794" s="77"/>
      <c r="AO794" s="77"/>
    </row>
    <row r="795" ht="13.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c r="AA795" s="77"/>
      <c r="AB795" s="77"/>
      <c r="AC795" s="77"/>
      <c r="AD795" s="77"/>
      <c r="AE795" s="77"/>
      <c r="AF795" s="77"/>
      <c r="AG795" s="77"/>
      <c r="AH795" s="77"/>
      <c r="AI795" s="77"/>
      <c r="AJ795" s="77"/>
      <c r="AK795" s="77"/>
      <c r="AL795" s="77"/>
      <c r="AM795" s="77"/>
      <c r="AN795" s="77"/>
      <c r="AO795" s="77"/>
    </row>
    <row r="796" ht="13.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c r="AA796" s="77"/>
      <c r="AB796" s="77"/>
      <c r="AC796" s="77"/>
      <c r="AD796" s="77"/>
      <c r="AE796" s="77"/>
      <c r="AF796" s="77"/>
      <c r="AG796" s="77"/>
      <c r="AH796" s="77"/>
      <c r="AI796" s="77"/>
      <c r="AJ796" s="77"/>
      <c r="AK796" s="77"/>
      <c r="AL796" s="77"/>
      <c r="AM796" s="77"/>
      <c r="AN796" s="77"/>
      <c r="AO796" s="77"/>
    </row>
    <row r="797" ht="13.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c r="AA797" s="77"/>
      <c r="AB797" s="77"/>
      <c r="AC797" s="77"/>
      <c r="AD797" s="77"/>
      <c r="AE797" s="77"/>
      <c r="AF797" s="77"/>
      <c r="AG797" s="77"/>
      <c r="AH797" s="77"/>
      <c r="AI797" s="77"/>
      <c r="AJ797" s="77"/>
      <c r="AK797" s="77"/>
      <c r="AL797" s="77"/>
      <c r="AM797" s="77"/>
      <c r="AN797" s="77"/>
      <c r="AO797" s="77"/>
    </row>
    <row r="798" ht="13.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c r="AA798" s="77"/>
      <c r="AB798" s="77"/>
      <c r="AC798" s="77"/>
      <c r="AD798" s="77"/>
      <c r="AE798" s="77"/>
      <c r="AF798" s="77"/>
      <c r="AG798" s="77"/>
      <c r="AH798" s="77"/>
      <c r="AI798" s="77"/>
      <c r="AJ798" s="77"/>
      <c r="AK798" s="77"/>
      <c r="AL798" s="77"/>
      <c r="AM798" s="77"/>
      <c r="AN798" s="77"/>
      <c r="AO798" s="77"/>
    </row>
    <row r="799" ht="13.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c r="AA799" s="77"/>
      <c r="AB799" s="77"/>
      <c r="AC799" s="77"/>
      <c r="AD799" s="77"/>
      <c r="AE799" s="77"/>
      <c r="AF799" s="77"/>
      <c r="AG799" s="77"/>
      <c r="AH799" s="77"/>
      <c r="AI799" s="77"/>
      <c r="AJ799" s="77"/>
      <c r="AK799" s="77"/>
      <c r="AL799" s="77"/>
      <c r="AM799" s="77"/>
      <c r="AN799" s="77"/>
      <c r="AO799" s="77"/>
    </row>
    <row r="800" ht="13.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c r="AA800" s="77"/>
      <c r="AB800" s="77"/>
      <c r="AC800" s="77"/>
      <c r="AD800" s="77"/>
      <c r="AE800" s="77"/>
      <c r="AF800" s="77"/>
      <c r="AG800" s="77"/>
      <c r="AH800" s="77"/>
      <c r="AI800" s="77"/>
      <c r="AJ800" s="77"/>
      <c r="AK800" s="77"/>
      <c r="AL800" s="77"/>
      <c r="AM800" s="77"/>
      <c r="AN800" s="77"/>
      <c r="AO800" s="77"/>
    </row>
    <row r="801" ht="13.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c r="AA801" s="77"/>
      <c r="AB801" s="77"/>
      <c r="AC801" s="77"/>
      <c r="AD801" s="77"/>
      <c r="AE801" s="77"/>
      <c r="AF801" s="77"/>
      <c r="AG801" s="77"/>
      <c r="AH801" s="77"/>
      <c r="AI801" s="77"/>
      <c r="AJ801" s="77"/>
      <c r="AK801" s="77"/>
      <c r="AL801" s="77"/>
      <c r="AM801" s="77"/>
      <c r="AN801" s="77"/>
      <c r="AO801" s="77"/>
    </row>
    <row r="802" ht="13.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c r="AA802" s="77"/>
      <c r="AB802" s="77"/>
      <c r="AC802" s="77"/>
      <c r="AD802" s="77"/>
      <c r="AE802" s="77"/>
      <c r="AF802" s="77"/>
      <c r="AG802" s="77"/>
      <c r="AH802" s="77"/>
      <c r="AI802" s="77"/>
      <c r="AJ802" s="77"/>
      <c r="AK802" s="77"/>
      <c r="AL802" s="77"/>
      <c r="AM802" s="77"/>
      <c r="AN802" s="77"/>
      <c r="AO802" s="77"/>
    </row>
    <row r="803" ht="13.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c r="AA803" s="77"/>
      <c r="AB803" s="77"/>
      <c r="AC803" s="77"/>
      <c r="AD803" s="77"/>
      <c r="AE803" s="77"/>
      <c r="AF803" s="77"/>
      <c r="AG803" s="77"/>
      <c r="AH803" s="77"/>
      <c r="AI803" s="77"/>
      <c r="AJ803" s="77"/>
      <c r="AK803" s="77"/>
      <c r="AL803" s="77"/>
      <c r="AM803" s="77"/>
      <c r="AN803" s="77"/>
      <c r="AO803" s="77"/>
    </row>
    <row r="804" ht="13.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c r="AA804" s="77"/>
      <c r="AB804" s="77"/>
      <c r="AC804" s="77"/>
      <c r="AD804" s="77"/>
      <c r="AE804" s="77"/>
      <c r="AF804" s="77"/>
      <c r="AG804" s="77"/>
      <c r="AH804" s="77"/>
      <c r="AI804" s="77"/>
      <c r="AJ804" s="77"/>
      <c r="AK804" s="77"/>
      <c r="AL804" s="77"/>
      <c r="AM804" s="77"/>
      <c r="AN804" s="77"/>
      <c r="AO804" s="77"/>
    </row>
    <row r="805" ht="13.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c r="AA805" s="77"/>
      <c r="AB805" s="77"/>
      <c r="AC805" s="77"/>
      <c r="AD805" s="77"/>
      <c r="AE805" s="77"/>
      <c r="AF805" s="77"/>
      <c r="AG805" s="77"/>
      <c r="AH805" s="77"/>
      <c r="AI805" s="77"/>
      <c r="AJ805" s="77"/>
      <c r="AK805" s="77"/>
      <c r="AL805" s="77"/>
      <c r="AM805" s="77"/>
      <c r="AN805" s="77"/>
      <c r="AO805" s="77"/>
    </row>
    <row r="806" ht="13.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c r="AA806" s="77"/>
      <c r="AB806" s="77"/>
      <c r="AC806" s="77"/>
      <c r="AD806" s="77"/>
      <c r="AE806" s="77"/>
      <c r="AF806" s="77"/>
      <c r="AG806" s="77"/>
      <c r="AH806" s="77"/>
      <c r="AI806" s="77"/>
      <c r="AJ806" s="77"/>
      <c r="AK806" s="77"/>
      <c r="AL806" s="77"/>
      <c r="AM806" s="77"/>
      <c r="AN806" s="77"/>
      <c r="AO806" s="77"/>
    </row>
    <row r="807" ht="13.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c r="AA807" s="77"/>
      <c r="AB807" s="77"/>
      <c r="AC807" s="77"/>
      <c r="AD807" s="77"/>
      <c r="AE807" s="77"/>
      <c r="AF807" s="77"/>
      <c r="AG807" s="77"/>
      <c r="AH807" s="77"/>
      <c r="AI807" s="77"/>
      <c r="AJ807" s="77"/>
      <c r="AK807" s="77"/>
      <c r="AL807" s="77"/>
      <c r="AM807" s="77"/>
      <c r="AN807" s="77"/>
      <c r="AO807" s="77"/>
    </row>
    <row r="808" ht="13.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c r="AA808" s="77"/>
      <c r="AB808" s="77"/>
      <c r="AC808" s="77"/>
      <c r="AD808" s="77"/>
      <c r="AE808" s="77"/>
      <c r="AF808" s="77"/>
      <c r="AG808" s="77"/>
      <c r="AH808" s="77"/>
      <c r="AI808" s="77"/>
      <c r="AJ808" s="77"/>
      <c r="AK808" s="77"/>
      <c r="AL808" s="77"/>
      <c r="AM808" s="77"/>
      <c r="AN808" s="77"/>
      <c r="AO808" s="77"/>
    </row>
    <row r="809" ht="13.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c r="AA809" s="77"/>
      <c r="AB809" s="77"/>
      <c r="AC809" s="77"/>
      <c r="AD809" s="77"/>
      <c r="AE809" s="77"/>
      <c r="AF809" s="77"/>
      <c r="AG809" s="77"/>
      <c r="AH809" s="77"/>
      <c r="AI809" s="77"/>
      <c r="AJ809" s="77"/>
      <c r="AK809" s="77"/>
      <c r="AL809" s="77"/>
      <c r="AM809" s="77"/>
      <c r="AN809" s="77"/>
      <c r="AO809" s="77"/>
    </row>
    <row r="810" ht="13.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c r="AA810" s="77"/>
      <c r="AB810" s="77"/>
      <c r="AC810" s="77"/>
      <c r="AD810" s="77"/>
      <c r="AE810" s="77"/>
      <c r="AF810" s="77"/>
      <c r="AG810" s="77"/>
      <c r="AH810" s="77"/>
      <c r="AI810" s="77"/>
      <c r="AJ810" s="77"/>
      <c r="AK810" s="77"/>
      <c r="AL810" s="77"/>
      <c r="AM810" s="77"/>
      <c r="AN810" s="77"/>
      <c r="AO810" s="77"/>
    </row>
    <row r="811" ht="13.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c r="AA811" s="77"/>
      <c r="AB811" s="77"/>
      <c r="AC811" s="77"/>
      <c r="AD811" s="77"/>
      <c r="AE811" s="77"/>
      <c r="AF811" s="77"/>
      <c r="AG811" s="77"/>
      <c r="AH811" s="77"/>
      <c r="AI811" s="77"/>
      <c r="AJ811" s="77"/>
      <c r="AK811" s="77"/>
      <c r="AL811" s="77"/>
      <c r="AM811" s="77"/>
      <c r="AN811" s="77"/>
      <c r="AO811" s="77"/>
    </row>
    <row r="812" ht="13.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c r="AA812" s="77"/>
      <c r="AB812" s="77"/>
      <c r="AC812" s="77"/>
      <c r="AD812" s="77"/>
      <c r="AE812" s="77"/>
      <c r="AF812" s="77"/>
      <c r="AG812" s="77"/>
      <c r="AH812" s="77"/>
      <c r="AI812" s="77"/>
      <c r="AJ812" s="77"/>
      <c r="AK812" s="77"/>
      <c r="AL812" s="77"/>
      <c r="AM812" s="77"/>
      <c r="AN812" s="77"/>
      <c r="AO812" s="77"/>
    </row>
    <row r="813" ht="13.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c r="AA813" s="77"/>
      <c r="AB813" s="77"/>
      <c r="AC813" s="77"/>
      <c r="AD813" s="77"/>
      <c r="AE813" s="77"/>
      <c r="AF813" s="77"/>
      <c r="AG813" s="77"/>
      <c r="AH813" s="77"/>
      <c r="AI813" s="77"/>
      <c r="AJ813" s="77"/>
      <c r="AK813" s="77"/>
      <c r="AL813" s="77"/>
      <c r="AM813" s="77"/>
      <c r="AN813" s="77"/>
      <c r="AO813" s="77"/>
    </row>
    <row r="814" ht="13.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c r="AA814" s="77"/>
      <c r="AB814" s="77"/>
      <c r="AC814" s="77"/>
      <c r="AD814" s="77"/>
      <c r="AE814" s="77"/>
      <c r="AF814" s="77"/>
      <c r="AG814" s="77"/>
      <c r="AH814" s="77"/>
      <c r="AI814" s="77"/>
      <c r="AJ814" s="77"/>
      <c r="AK814" s="77"/>
      <c r="AL814" s="77"/>
      <c r="AM814" s="77"/>
      <c r="AN814" s="77"/>
      <c r="AO814" s="77"/>
    </row>
    <row r="815" ht="13.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c r="AA815" s="77"/>
      <c r="AB815" s="77"/>
      <c r="AC815" s="77"/>
      <c r="AD815" s="77"/>
      <c r="AE815" s="77"/>
      <c r="AF815" s="77"/>
      <c r="AG815" s="77"/>
      <c r="AH815" s="77"/>
      <c r="AI815" s="77"/>
      <c r="AJ815" s="77"/>
      <c r="AK815" s="77"/>
      <c r="AL815" s="77"/>
      <c r="AM815" s="77"/>
      <c r="AN815" s="77"/>
      <c r="AO815" s="77"/>
    </row>
    <row r="816" ht="13.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c r="AA816" s="77"/>
      <c r="AB816" s="77"/>
      <c r="AC816" s="77"/>
      <c r="AD816" s="77"/>
      <c r="AE816" s="77"/>
      <c r="AF816" s="77"/>
      <c r="AG816" s="77"/>
      <c r="AH816" s="77"/>
      <c r="AI816" s="77"/>
      <c r="AJ816" s="77"/>
      <c r="AK816" s="77"/>
      <c r="AL816" s="77"/>
      <c r="AM816" s="77"/>
      <c r="AN816" s="77"/>
      <c r="AO816" s="77"/>
    </row>
    <row r="817" ht="13.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c r="AA817" s="77"/>
      <c r="AB817" s="77"/>
      <c r="AC817" s="77"/>
      <c r="AD817" s="77"/>
      <c r="AE817" s="77"/>
      <c r="AF817" s="77"/>
      <c r="AG817" s="77"/>
      <c r="AH817" s="77"/>
      <c r="AI817" s="77"/>
      <c r="AJ817" s="77"/>
      <c r="AK817" s="77"/>
      <c r="AL817" s="77"/>
      <c r="AM817" s="77"/>
      <c r="AN817" s="77"/>
      <c r="AO817" s="77"/>
    </row>
    <row r="818" ht="13.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c r="AA818" s="77"/>
      <c r="AB818" s="77"/>
      <c r="AC818" s="77"/>
      <c r="AD818" s="77"/>
      <c r="AE818" s="77"/>
      <c r="AF818" s="77"/>
      <c r="AG818" s="77"/>
      <c r="AH818" s="77"/>
      <c r="AI818" s="77"/>
      <c r="AJ818" s="77"/>
      <c r="AK818" s="77"/>
      <c r="AL818" s="77"/>
      <c r="AM818" s="77"/>
      <c r="AN818" s="77"/>
      <c r="AO818" s="77"/>
    </row>
    <row r="819" ht="13.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c r="AA819" s="77"/>
      <c r="AB819" s="77"/>
      <c r="AC819" s="77"/>
      <c r="AD819" s="77"/>
      <c r="AE819" s="77"/>
      <c r="AF819" s="77"/>
      <c r="AG819" s="77"/>
      <c r="AH819" s="77"/>
      <c r="AI819" s="77"/>
      <c r="AJ819" s="77"/>
      <c r="AK819" s="77"/>
      <c r="AL819" s="77"/>
      <c r="AM819" s="77"/>
      <c r="AN819" s="77"/>
      <c r="AO819" s="77"/>
    </row>
    <row r="820" ht="13.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c r="AA820" s="77"/>
      <c r="AB820" s="77"/>
      <c r="AC820" s="77"/>
      <c r="AD820" s="77"/>
      <c r="AE820" s="77"/>
      <c r="AF820" s="77"/>
      <c r="AG820" s="77"/>
      <c r="AH820" s="77"/>
      <c r="AI820" s="77"/>
      <c r="AJ820" s="77"/>
      <c r="AK820" s="77"/>
      <c r="AL820" s="77"/>
      <c r="AM820" s="77"/>
      <c r="AN820" s="77"/>
      <c r="AO820" s="77"/>
    </row>
    <row r="821" ht="13.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c r="AA821" s="77"/>
      <c r="AB821" s="77"/>
      <c r="AC821" s="77"/>
      <c r="AD821" s="77"/>
      <c r="AE821" s="77"/>
      <c r="AF821" s="77"/>
      <c r="AG821" s="77"/>
      <c r="AH821" s="77"/>
      <c r="AI821" s="77"/>
      <c r="AJ821" s="77"/>
      <c r="AK821" s="77"/>
      <c r="AL821" s="77"/>
      <c r="AM821" s="77"/>
      <c r="AN821" s="77"/>
      <c r="AO821" s="77"/>
    </row>
    <row r="822" ht="13.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c r="AA822" s="77"/>
      <c r="AB822" s="77"/>
      <c r="AC822" s="77"/>
      <c r="AD822" s="77"/>
      <c r="AE822" s="77"/>
      <c r="AF822" s="77"/>
      <c r="AG822" s="77"/>
      <c r="AH822" s="77"/>
      <c r="AI822" s="77"/>
      <c r="AJ822" s="77"/>
      <c r="AK822" s="77"/>
      <c r="AL822" s="77"/>
      <c r="AM822" s="77"/>
      <c r="AN822" s="77"/>
      <c r="AO822" s="77"/>
    </row>
    <row r="823" ht="13.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c r="AA823" s="77"/>
      <c r="AB823" s="77"/>
      <c r="AC823" s="77"/>
      <c r="AD823" s="77"/>
      <c r="AE823" s="77"/>
      <c r="AF823" s="77"/>
      <c r="AG823" s="77"/>
      <c r="AH823" s="77"/>
      <c r="AI823" s="77"/>
      <c r="AJ823" s="77"/>
      <c r="AK823" s="77"/>
      <c r="AL823" s="77"/>
      <c r="AM823" s="77"/>
      <c r="AN823" s="77"/>
      <c r="AO823" s="77"/>
    </row>
    <row r="824" ht="13.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c r="AA824" s="77"/>
      <c r="AB824" s="77"/>
      <c r="AC824" s="77"/>
      <c r="AD824" s="77"/>
      <c r="AE824" s="77"/>
      <c r="AF824" s="77"/>
      <c r="AG824" s="77"/>
      <c r="AH824" s="77"/>
      <c r="AI824" s="77"/>
      <c r="AJ824" s="77"/>
      <c r="AK824" s="77"/>
      <c r="AL824" s="77"/>
      <c r="AM824" s="77"/>
      <c r="AN824" s="77"/>
      <c r="AO824" s="77"/>
    </row>
    <row r="825" ht="13.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c r="AA825" s="77"/>
      <c r="AB825" s="77"/>
      <c r="AC825" s="77"/>
      <c r="AD825" s="77"/>
      <c r="AE825" s="77"/>
      <c r="AF825" s="77"/>
      <c r="AG825" s="77"/>
      <c r="AH825" s="77"/>
      <c r="AI825" s="77"/>
      <c r="AJ825" s="77"/>
      <c r="AK825" s="77"/>
      <c r="AL825" s="77"/>
      <c r="AM825" s="77"/>
      <c r="AN825" s="77"/>
      <c r="AO825" s="77"/>
    </row>
    <row r="826" ht="13.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c r="AA826" s="77"/>
      <c r="AB826" s="77"/>
      <c r="AC826" s="77"/>
      <c r="AD826" s="77"/>
      <c r="AE826" s="77"/>
      <c r="AF826" s="77"/>
      <c r="AG826" s="77"/>
      <c r="AH826" s="77"/>
      <c r="AI826" s="77"/>
      <c r="AJ826" s="77"/>
      <c r="AK826" s="77"/>
      <c r="AL826" s="77"/>
      <c r="AM826" s="77"/>
      <c r="AN826" s="77"/>
      <c r="AO826" s="77"/>
    </row>
    <row r="827" ht="13.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c r="AA827" s="77"/>
      <c r="AB827" s="77"/>
      <c r="AC827" s="77"/>
      <c r="AD827" s="77"/>
      <c r="AE827" s="77"/>
      <c r="AF827" s="77"/>
      <c r="AG827" s="77"/>
      <c r="AH827" s="77"/>
      <c r="AI827" s="77"/>
      <c r="AJ827" s="77"/>
      <c r="AK827" s="77"/>
      <c r="AL827" s="77"/>
      <c r="AM827" s="77"/>
      <c r="AN827" s="77"/>
      <c r="AO827" s="77"/>
    </row>
    <row r="828" ht="13.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c r="AA828" s="77"/>
      <c r="AB828" s="77"/>
      <c r="AC828" s="77"/>
      <c r="AD828" s="77"/>
      <c r="AE828" s="77"/>
      <c r="AF828" s="77"/>
      <c r="AG828" s="77"/>
      <c r="AH828" s="77"/>
      <c r="AI828" s="77"/>
      <c r="AJ828" s="77"/>
      <c r="AK828" s="77"/>
      <c r="AL828" s="77"/>
      <c r="AM828" s="77"/>
      <c r="AN828" s="77"/>
      <c r="AO828" s="77"/>
    </row>
    <row r="829" ht="13.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c r="AA829" s="77"/>
      <c r="AB829" s="77"/>
      <c r="AC829" s="77"/>
      <c r="AD829" s="77"/>
      <c r="AE829" s="77"/>
      <c r="AF829" s="77"/>
      <c r="AG829" s="77"/>
      <c r="AH829" s="77"/>
      <c r="AI829" s="77"/>
      <c r="AJ829" s="77"/>
      <c r="AK829" s="77"/>
      <c r="AL829" s="77"/>
      <c r="AM829" s="77"/>
      <c r="AN829" s="77"/>
      <c r="AO829" s="77"/>
    </row>
    <row r="830" ht="13.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c r="AA830" s="77"/>
      <c r="AB830" s="77"/>
      <c r="AC830" s="77"/>
      <c r="AD830" s="77"/>
      <c r="AE830" s="77"/>
      <c r="AF830" s="77"/>
      <c r="AG830" s="77"/>
      <c r="AH830" s="77"/>
      <c r="AI830" s="77"/>
      <c r="AJ830" s="77"/>
      <c r="AK830" s="77"/>
      <c r="AL830" s="77"/>
      <c r="AM830" s="77"/>
      <c r="AN830" s="77"/>
      <c r="AO830" s="77"/>
    </row>
    <row r="831" ht="13.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c r="AA831" s="77"/>
      <c r="AB831" s="77"/>
      <c r="AC831" s="77"/>
      <c r="AD831" s="77"/>
      <c r="AE831" s="77"/>
      <c r="AF831" s="77"/>
      <c r="AG831" s="77"/>
      <c r="AH831" s="77"/>
      <c r="AI831" s="77"/>
      <c r="AJ831" s="77"/>
      <c r="AK831" s="77"/>
      <c r="AL831" s="77"/>
      <c r="AM831" s="77"/>
      <c r="AN831" s="77"/>
      <c r="AO831" s="77"/>
    </row>
    <row r="832" ht="13.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c r="AA832" s="77"/>
      <c r="AB832" s="77"/>
      <c r="AC832" s="77"/>
      <c r="AD832" s="77"/>
      <c r="AE832" s="77"/>
      <c r="AF832" s="77"/>
      <c r="AG832" s="77"/>
      <c r="AH832" s="77"/>
      <c r="AI832" s="77"/>
      <c r="AJ832" s="77"/>
      <c r="AK832" s="77"/>
      <c r="AL832" s="77"/>
      <c r="AM832" s="77"/>
      <c r="AN832" s="77"/>
      <c r="AO832" s="77"/>
    </row>
    <row r="833" ht="13.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c r="AA833" s="77"/>
      <c r="AB833" s="77"/>
      <c r="AC833" s="77"/>
      <c r="AD833" s="77"/>
      <c r="AE833" s="77"/>
      <c r="AF833" s="77"/>
      <c r="AG833" s="77"/>
      <c r="AH833" s="77"/>
      <c r="AI833" s="77"/>
      <c r="AJ833" s="77"/>
      <c r="AK833" s="77"/>
      <c r="AL833" s="77"/>
      <c r="AM833" s="77"/>
      <c r="AN833" s="77"/>
      <c r="AO833" s="77"/>
    </row>
    <row r="834" ht="13.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c r="AA834" s="77"/>
      <c r="AB834" s="77"/>
      <c r="AC834" s="77"/>
      <c r="AD834" s="77"/>
      <c r="AE834" s="77"/>
      <c r="AF834" s="77"/>
      <c r="AG834" s="77"/>
      <c r="AH834" s="77"/>
      <c r="AI834" s="77"/>
      <c r="AJ834" s="77"/>
      <c r="AK834" s="77"/>
      <c r="AL834" s="77"/>
      <c r="AM834" s="77"/>
      <c r="AN834" s="77"/>
      <c r="AO834" s="77"/>
    </row>
    <row r="835" ht="13.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c r="AA835" s="77"/>
      <c r="AB835" s="77"/>
      <c r="AC835" s="77"/>
      <c r="AD835" s="77"/>
      <c r="AE835" s="77"/>
      <c r="AF835" s="77"/>
      <c r="AG835" s="77"/>
      <c r="AH835" s="77"/>
      <c r="AI835" s="77"/>
      <c r="AJ835" s="77"/>
      <c r="AK835" s="77"/>
      <c r="AL835" s="77"/>
      <c r="AM835" s="77"/>
      <c r="AN835" s="77"/>
      <c r="AO835" s="77"/>
    </row>
    <row r="836" ht="13.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c r="AA836" s="77"/>
      <c r="AB836" s="77"/>
      <c r="AC836" s="77"/>
      <c r="AD836" s="77"/>
      <c r="AE836" s="77"/>
      <c r="AF836" s="77"/>
      <c r="AG836" s="77"/>
      <c r="AH836" s="77"/>
      <c r="AI836" s="77"/>
      <c r="AJ836" s="77"/>
      <c r="AK836" s="77"/>
      <c r="AL836" s="77"/>
      <c r="AM836" s="77"/>
      <c r="AN836" s="77"/>
      <c r="AO836" s="77"/>
    </row>
    <row r="837" ht="13.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c r="AA837" s="77"/>
      <c r="AB837" s="77"/>
      <c r="AC837" s="77"/>
      <c r="AD837" s="77"/>
      <c r="AE837" s="77"/>
      <c r="AF837" s="77"/>
      <c r="AG837" s="77"/>
      <c r="AH837" s="77"/>
      <c r="AI837" s="77"/>
      <c r="AJ837" s="77"/>
      <c r="AK837" s="77"/>
      <c r="AL837" s="77"/>
      <c r="AM837" s="77"/>
      <c r="AN837" s="77"/>
      <c r="AO837" s="77"/>
    </row>
    <row r="838" ht="13.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c r="AA838" s="77"/>
      <c r="AB838" s="77"/>
      <c r="AC838" s="77"/>
      <c r="AD838" s="77"/>
      <c r="AE838" s="77"/>
      <c r="AF838" s="77"/>
      <c r="AG838" s="77"/>
      <c r="AH838" s="77"/>
      <c r="AI838" s="77"/>
      <c r="AJ838" s="77"/>
      <c r="AK838" s="77"/>
      <c r="AL838" s="77"/>
      <c r="AM838" s="77"/>
      <c r="AN838" s="77"/>
      <c r="AO838" s="77"/>
    </row>
    <row r="839" ht="13.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c r="AA839" s="77"/>
      <c r="AB839" s="77"/>
      <c r="AC839" s="77"/>
      <c r="AD839" s="77"/>
      <c r="AE839" s="77"/>
      <c r="AF839" s="77"/>
      <c r="AG839" s="77"/>
      <c r="AH839" s="77"/>
      <c r="AI839" s="77"/>
      <c r="AJ839" s="77"/>
      <c r="AK839" s="77"/>
      <c r="AL839" s="77"/>
      <c r="AM839" s="77"/>
      <c r="AN839" s="77"/>
      <c r="AO839" s="77"/>
    </row>
    <row r="840" ht="13.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c r="AA840" s="77"/>
      <c r="AB840" s="77"/>
      <c r="AC840" s="77"/>
      <c r="AD840" s="77"/>
      <c r="AE840" s="77"/>
      <c r="AF840" s="77"/>
      <c r="AG840" s="77"/>
      <c r="AH840" s="77"/>
      <c r="AI840" s="77"/>
      <c r="AJ840" s="77"/>
      <c r="AK840" s="77"/>
      <c r="AL840" s="77"/>
      <c r="AM840" s="77"/>
      <c r="AN840" s="77"/>
      <c r="AO840" s="77"/>
    </row>
    <row r="841" ht="13.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c r="AA841" s="77"/>
      <c r="AB841" s="77"/>
      <c r="AC841" s="77"/>
      <c r="AD841" s="77"/>
      <c r="AE841" s="77"/>
      <c r="AF841" s="77"/>
      <c r="AG841" s="77"/>
      <c r="AH841" s="77"/>
      <c r="AI841" s="77"/>
      <c r="AJ841" s="77"/>
      <c r="AK841" s="77"/>
      <c r="AL841" s="77"/>
      <c r="AM841" s="77"/>
      <c r="AN841" s="77"/>
      <c r="AO841" s="77"/>
    </row>
    <row r="842" ht="13.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c r="AA842" s="77"/>
      <c r="AB842" s="77"/>
      <c r="AC842" s="77"/>
      <c r="AD842" s="77"/>
      <c r="AE842" s="77"/>
      <c r="AF842" s="77"/>
      <c r="AG842" s="77"/>
      <c r="AH842" s="77"/>
      <c r="AI842" s="77"/>
      <c r="AJ842" s="77"/>
      <c r="AK842" s="77"/>
      <c r="AL842" s="77"/>
      <c r="AM842" s="77"/>
      <c r="AN842" s="77"/>
      <c r="AO842" s="77"/>
    </row>
    <row r="843" ht="13.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c r="AA843" s="77"/>
      <c r="AB843" s="77"/>
      <c r="AC843" s="77"/>
      <c r="AD843" s="77"/>
      <c r="AE843" s="77"/>
      <c r="AF843" s="77"/>
      <c r="AG843" s="77"/>
      <c r="AH843" s="77"/>
      <c r="AI843" s="77"/>
      <c r="AJ843" s="77"/>
      <c r="AK843" s="77"/>
      <c r="AL843" s="77"/>
      <c r="AM843" s="77"/>
      <c r="AN843" s="77"/>
      <c r="AO843" s="77"/>
    </row>
    <row r="844" ht="13.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c r="AA844" s="77"/>
      <c r="AB844" s="77"/>
      <c r="AC844" s="77"/>
      <c r="AD844" s="77"/>
      <c r="AE844" s="77"/>
      <c r="AF844" s="77"/>
      <c r="AG844" s="77"/>
      <c r="AH844" s="77"/>
      <c r="AI844" s="77"/>
      <c r="AJ844" s="77"/>
      <c r="AK844" s="77"/>
      <c r="AL844" s="77"/>
      <c r="AM844" s="77"/>
      <c r="AN844" s="77"/>
      <c r="AO844" s="77"/>
    </row>
    <row r="845" ht="13.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c r="AA845" s="77"/>
      <c r="AB845" s="77"/>
      <c r="AC845" s="77"/>
      <c r="AD845" s="77"/>
      <c r="AE845" s="77"/>
      <c r="AF845" s="77"/>
      <c r="AG845" s="77"/>
      <c r="AH845" s="77"/>
      <c r="AI845" s="77"/>
      <c r="AJ845" s="77"/>
      <c r="AK845" s="77"/>
      <c r="AL845" s="77"/>
      <c r="AM845" s="77"/>
      <c r="AN845" s="77"/>
      <c r="AO845" s="77"/>
    </row>
    <row r="846" ht="13.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c r="AA846" s="77"/>
      <c r="AB846" s="77"/>
      <c r="AC846" s="77"/>
      <c r="AD846" s="77"/>
      <c r="AE846" s="77"/>
      <c r="AF846" s="77"/>
      <c r="AG846" s="77"/>
      <c r="AH846" s="77"/>
      <c r="AI846" s="77"/>
      <c r="AJ846" s="77"/>
      <c r="AK846" s="77"/>
      <c r="AL846" s="77"/>
      <c r="AM846" s="77"/>
      <c r="AN846" s="77"/>
      <c r="AO846" s="77"/>
    </row>
    <row r="847" ht="13.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c r="AA847" s="77"/>
      <c r="AB847" s="77"/>
      <c r="AC847" s="77"/>
      <c r="AD847" s="77"/>
      <c r="AE847" s="77"/>
      <c r="AF847" s="77"/>
      <c r="AG847" s="77"/>
      <c r="AH847" s="77"/>
      <c r="AI847" s="77"/>
      <c r="AJ847" s="77"/>
      <c r="AK847" s="77"/>
      <c r="AL847" s="77"/>
      <c r="AM847" s="77"/>
      <c r="AN847" s="77"/>
      <c r="AO847" s="77"/>
    </row>
    <row r="848" ht="13.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c r="AA848" s="77"/>
      <c r="AB848" s="77"/>
      <c r="AC848" s="77"/>
      <c r="AD848" s="77"/>
      <c r="AE848" s="77"/>
      <c r="AF848" s="77"/>
      <c r="AG848" s="77"/>
      <c r="AH848" s="77"/>
      <c r="AI848" s="77"/>
      <c r="AJ848" s="77"/>
      <c r="AK848" s="77"/>
      <c r="AL848" s="77"/>
      <c r="AM848" s="77"/>
      <c r="AN848" s="77"/>
      <c r="AO848" s="77"/>
    </row>
    <row r="849" ht="13.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c r="AA849" s="77"/>
      <c r="AB849" s="77"/>
      <c r="AC849" s="77"/>
      <c r="AD849" s="77"/>
      <c r="AE849" s="77"/>
      <c r="AF849" s="77"/>
      <c r="AG849" s="77"/>
      <c r="AH849" s="77"/>
      <c r="AI849" s="77"/>
      <c r="AJ849" s="77"/>
      <c r="AK849" s="77"/>
      <c r="AL849" s="77"/>
      <c r="AM849" s="77"/>
      <c r="AN849" s="77"/>
      <c r="AO849" s="77"/>
    </row>
    <row r="850" ht="13.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c r="AA850" s="77"/>
      <c r="AB850" s="77"/>
      <c r="AC850" s="77"/>
      <c r="AD850" s="77"/>
      <c r="AE850" s="77"/>
      <c r="AF850" s="77"/>
      <c r="AG850" s="77"/>
      <c r="AH850" s="77"/>
      <c r="AI850" s="77"/>
      <c r="AJ850" s="77"/>
      <c r="AK850" s="77"/>
      <c r="AL850" s="77"/>
      <c r="AM850" s="77"/>
      <c r="AN850" s="77"/>
      <c r="AO850" s="77"/>
    </row>
    <row r="851" ht="13.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c r="AA851" s="77"/>
      <c r="AB851" s="77"/>
      <c r="AC851" s="77"/>
      <c r="AD851" s="77"/>
      <c r="AE851" s="77"/>
      <c r="AF851" s="77"/>
      <c r="AG851" s="77"/>
      <c r="AH851" s="77"/>
      <c r="AI851" s="77"/>
      <c r="AJ851" s="77"/>
      <c r="AK851" s="77"/>
      <c r="AL851" s="77"/>
      <c r="AM851" s="77"/>
      <c r="AN851" s="77"/>
      <c r="AO851" s="77"/>
    </row>
    <row r="852" ht="13.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c r="AA852" s="77"/>
      <c r="AB852" s="77"/>
      <c r="AC852" s="77"/>
      <c r="AD852" s="77"/>
      <c r="AE852" s="77"/>
      <c r="AF852" s="77"/>
      <c r="AG852" s="77"/>
      <c r="AH852" s="77"/>
      <c r="AI852" s="77"/>
      <c r="AJ852" s="77"/>
      <c r="AK852" s="77"/>
      <c r="AL852" s="77"/>
      <c r="AM852" s="77"/>
      <c r="AN852" s="77"/>
      <c r="AO852" s="77"/>
    </row>
    <row r="853" ht="13.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c r="AA853" s="77"/>
      <c r="AB853" s="77"/>
      <c r="AC853" s="77"/>
      <c r="AD853" s="77"/>
      <c r="AE853" s="77"/>
      <c r="AF853" s="77"/>
      <c r="AG853" s="77"/>
      <c r="AH853" s="77"/>
      <c r="AI853" s="77"/>
      <c r="AJ853" s="77"/>
      <c r="AK853" s="77"/>
      <c r="AL853" s="77"/>
      <c r="AM853" s="77"/>
      <c r="AN853" s="77"/>
      <c r="AO853" s="77"/>
    </row>
    <row r="854" ht="13.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c r="AA854" s="77"/>
      <c r="AB854" s="77"/>
      <c r="AC854" s="77"/>
      <c r="AD854" s="77"/>
      <c r="AE854" s="77"/>
      <c r="AF854" s="77"/>
      <c r="AG854" s="77"/>
      <c r="AH854" s="77"/>
      <c r="AI854" s="77"/>
      <c r="AJ854" s="77"/>
      <c r="AK854" s="77"/>
      <c r="AL854" s="77"/>
      <c r="AM854" s="77"/>
      <c r="AN854" s="77"/>
      <c r="AO854" s="77"/>
    </row>
    <row r="855" ht="13.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c r="AA855" s="77"/>
      <c r="AB855" s="77"/>
      <c r="AC855" s="77"/>
      <c r="AD855" s="77"/>
      <c r="AE855" s="77"/>
      <c r="AF855" s="77"/>
      <c r="AG855" s="77"/>
      <c r="AH855" s="77"/>
      <c r="AI855" s="77"/>
      <c r="AJ855" s="77"/>
      <c r="AK855" s="77"/>
      <c r="AL855" s="77"/>
      <c r="AM855" s="77"/>
      <c r="AN855" s="77"/>
      <c r="AO855" s="77"/>
    </row>
    <row r="856" ht="13.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c r="AA856" s="77"/>
      <c r="AB856" s="77"/>
      <c r="AC856" s="77"/>
      <c r="AD856" s="77"/>
      <c r="AE856" s="77"/>
      <c r="AF856" s="77"/>
      <c r="AG856" s="77"/>
      <c r="AH856" s="77"/>
      <c r="AI856" s="77"/>
      <c r="AJ856" s="77"/>
      <c r="AK856" s="77"/>
      <c r="AL856" s="77"/>
      <c r="AM856" s="77"/>
      <c r="AN856" s="77"/>
      <c r="AO856" s="77"/>
    </row>
    <row r="857" ht="13.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c r="AA857" s="77"/>
      <c r="AB857" s="77"/>
      <c r="AC857" s="77"/>
      <c r="AD857" s="77"/>
      <c r="AE857" s="77"/>
      <c r="AF857" s="77"/>
      <c r="AG857" s="77"/>
      <c r="AH857" s="77"/>
      <c r="AI857" s="77"/>
      <c r="AJ857" s="77"/>
      <c r="AK857" s="77"/>
      <c r="AL857" s="77"/>
      <c r="AM857" s="77"/>
      <c r="AN857" s="77"/>
      <c r="AO857" s="77"/>
    </row>
    <row r="858" ht="13.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c r="AA858" s="77"/>
      <c r="AB858" s="77"/>
      <c r="AC858" s="77"/>
      <c r="AD858" s="77"/>
      <c r="AE858" s="77"/>
      <c r="AF858" s="77"/>
      <c r="AG858" s="77"/>
      <c r="AH858" s="77"/>
      <c r="AI858" s="77"/>
      <c r="AJ858" s="77"/>
      <c r="AK858" s="77"/>
      <c r="AL858" s="77"/>
      <c r="AM858" s="77"/>
      <c r="AN858" s="77"/>
      <c r="AO858" s="77"/>
    </row>
    <row r="859" ht="13.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c r="AA859" s="77"/>
      <c r="AB859" s="77"/>
      <c r="AC859" s="77"/>
      <c r="AD859" s="77"/>
      <c r="AE859" s="77"/>
      <c r="AF859" s="77"/>
      <c r="AG859" s="77"/>
      <c r="AH859" s="77"/>
      <c r="AI859" s="77"/>
      <c r="AJ859" s="77"/>
      <c r="AK859" s="77"/>
      <c r="AL859" s="77"/>
      <c r="AM859" s="77"/>
      <c r="AN859" s="77"/>
      <c r="AO859" s="77"/>
    </row>
    <row r="860" ht="13.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c r="AA860" s="77"/>
      <c r="AB860" s="77"/>
      <c r="AC860" s="77"/>
      <c r="AD860" s="77"/>
      <c r="AE860" s="77"/>
      <c r="AF860" s="77"/>
      <c r="AG860" s="77"/>
      <c r="AH860" s="77"/>
      <c r="AI860" s="77"/>
      <c r="AJ860" s="77"/>
      <c r="AK860" s="77"/>
      <c r="AL860" s="77"/>
      <c r="AM860" s="77"/>
      <c r="AN860" s="77"/>
      <c r="AO860" s="77"/>
    </row>
    <row r="861" ht="13.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c r="AA861" s="77"/>
      <c r="AB861" s="77"/>
      <c r="AC861" s="77"/>
      <c r="AD861" s="77"/>
      <c r="AE861" s="77"/>
      <c r="AF861" s="77"/>
      <c r="AG861" s="77"/>
      <c r="AH861" s="77"/>
      <c r="AI861" s="77"/>
      <c r="AJ861" s="77"/>
      <c r="AK861" s="77"/>
      <c r="AL861" s="77"/>
      <c r="AM861" s="77"/>
      <c r="AN861" s="77"/>
      <c r="AO861" s="77"/>
    </row>
    <row r="862" ht="13.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c r="AA862" s="77"/>
      <c r="AB862" s="77"/>
      <c r="AC862" s="77"/>
      <c r="AD862" s="77"/>
      <c r="AE862" s="77"/>
      <c r="AF862" s="77"/>
      <c r="AG862" s="77"/>
      <c r="AH862" s="77"/>
      <c r="AI862" s="77"/>
      <c r="AJ862" s="77"/>
      <c r="AK862" s="77"/>
      <c r="AL862" s="77"/>
      <c r="AM862" s="77"/>
      <c r="AN862" s="77"/>
      <c r="AO862" s="77"/>
    </row>
    <row r="863" ht="13.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c r="AA863" s="77"/>
      <c r="AB863" s="77"/>
      <c r="AC863" s="77"/>
      <c r="AD863" s="77"/>
      <c r="AE863" s="77"/>
      <c r="AF863" s="77"/>
      <c r="AG863" s="77"/>
      <c r="AH863" s="77"/>
      <c r="AI863" s="77"/>
      <c r="AJ863" s="77"/>
      <c r="AK863" s="77"/>
      <c r="AL863" s="77"/>
      <c r="AM863" s="77"/>
      <c r="AN863" s="77"/>
      <c r="AO863" s="77"/>
    </row>
    <row r="864" ht="13.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c r="AA864" s="77"/>
      <c r="AB864" s="77"/>
      <c r="AC864" s="77"/>
      <c r="AD864" s="77"/>
      <c r="AE864" s="77"/>
      <c r="AF864" s="77"/>
      <c r="AG864" s="77"/>
      <c r="AH864" s="77"/>
      <c r="AI864" s="77"/>
      <c r="AJ864" s="77"/>
      <c r="AK864" s="77"/>
      <c r="AL864" s="77"/>
      <c r="AM864" s="77"/>
      <c r="AN864" s="77"/>
      <c r="AO864" s="77"/>
    </row>
    <row r="865" ht="13.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c r="AA865" s="77"/>
      <c r="AB865" s="77"/>
      <c r="AC865" s="77"/>
      <c r="AD865" s="77"/>
      <c r="AE865" s="77"/>
      <c r="AF865" s="77"/>
      <c r="AG865" s="77"/>
      <c r="AH865" s="77"/>
      <c r="AI865" s="77"/>
      <c r="AJ865" s="77"/>
      <c r="AK865" s="77"/>
      <c r="AL865" s="77"/>
      <c r="AM865" s="77"/>
      <c r="AN865" s="77"/>
      <c r="AO865" s="77"/>
    </row>
    <row r="866" ht="13.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c r="AA866" s="77"/>
      <c r="AB866" s="77"/>
      <c r="AC866" s="77"/>
      <c r="AD866" s="77"/>
      <c r="AE866" s="77"/>
      <c r="AF866" s="77"/>
      <c r="AG866" s="77"/>
      <c r="AH866" s="77"/>
      <c r="AI866" s="77"/>
      <c r="AJ866" s="77"/>
      <c r="AK866" s="77"/>
      <c r="AL866" s="77"/>
      <c r="AM866" s="77"/>
      <c r="AN866" s="77"/>
      <c r="AO866" s="77"/>
    </row>
    <row r="867" ht="13.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c r="AA867" s="77"/>
      <c r="AB867" s="77"/>
      <c r="AC867" s="77"/>
      <c r="AD867" s="77"/>
      <c r="AE867" s="77"/>
      <c r="AF867" s="77"/>
      <c r="AG867" s="77"/>
      <c r="AH867" s="77"/>
      <c r="AI867" s="77"/>
      <c r="AJ867" s="77"/>
      <c r="AK867" s="77"/>
      <c r="AL867" s="77"/>
      <c r="AM867" s="77"/>
      <c r="AN867" s="77"/>
      <c r="AO867" s="77"/>
    </row>
    <row r="868" ht="13.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c r="AA868" s="77"/>
      <c r="AB868" s="77"/>
      <c r="AC868" s="77"/>
      <c r="AD868" s="77"/>
      <c r="AE868" s="77"/>
      <c r="AF868" s="77"/>
      <c r="AG868" s="77"/>
      <c r="AH868" s="77"/>
      <c r="AI868" s="77"/>
      <c r="AJ868" s="77"/>
      <c r="AK868" s="77"/>
      <c r="AL868" s="77"/>
      <c r="AM868" s="77"/>
      <c r="AN868" s="77"/>
      <c r="AO868" s="77"/>
    </row>
    <row r="869" ht="13.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c r="AA869" s="77"/>
      <c r="AB869" s="77"/>
      <c r="AC869" s="77"/>
      <c r="AD869" s="77"/>
      <c r="AE869" s="77"/>
      <c r="AF869" s="77"/>
      <c r="AG869" s="77"/>
      <c r="AH869" s="77"/>
      <c r="AI869" s="77"/>
      <c r="AJ869" s="77"/>
      <c r="AK869" s="77"/>
      <c r="AL869" s="77"/>
      <c r="AM869" s="77"/>
      <c r="AN869" s="77"/>
      <c r="AO869" s="77"/>
    </row>
    <row r="870" ht="13.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c r="AA870" s="77"/>
      <c r="AB870" s="77"/>
      <c r="AC870" s="77"/>
      <c r="AD870" s="77"/>
      <c r="AE870" s="77"/>
      <c r="AF870" s="77"/>
      <c r="AG870" s="77"/>
      <c r="AH870" s="77"/>
      <c r="AI870" s="77"/>
      <c r="AJ870" s="77"/>
      <c r="AK870" s="77"/>
      <c r="AL870" s="77"/>
      <c r="AM870" s="77"/>
      <c r="AN870" s="77"/>
      <c r="AO870" s="77"/>
    </row>
    <row r="871" ht="13.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c r="AA871" s="77"/>
      <c r="AB871" s="77"/>
      <c r="AC871" s="77"/>
      <c r="AD871" s="77"/>
      <c r="AE871" s="77"/>
      <c r="AF871" s="77"/>
      <c r="AG871" s="77"/>
      <c r="AH871" s="77"/>
      <c r="AI871" s="77"/>
      <c r="AJ871" s="77"/>
      <c r="AK871" s="77"/>
      <c r="AL871" s="77"/>
      <c r="AM871" s="77"/>
      <c r="AN871" s="77"/>
      <c r="AO871" s="77"/>
    </row>
    <row r="872" ht="13.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c r="AA872" s="77"/>
      <c r="AB872" s="77"/>
      <c r="AC872" s="77"/>
      <c r="AD872" s="77"/>
      <c r="AE872" s="77"/>
      <c r="AF872" s="77"/>
      <c r="AG872" s="77"/>
      <c r="AH872" s="77"/>
      <c r="AI872" s="77"/>
      <c r="AJ872" s="77"/>
      <c r="AK872" s="77"/>
      <c r="AL872" s="77"/>
      <c r="AM872" s="77"/>
      <c r="AN872" s="77"/>
      <c r="AO872" s="77"/>
    </row>
    <row r="873" ht="13.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c r="AA873" s="77"/>
      <c r="AB873" s="77"/>
      <c r="AC873" s="77"/>
      <c r="AD873" s="77"/>
      <c r="AE873" s="77"/>
      <c r="AF873" s="77"/>
      <c r="AG873" s="77"/>
      <c r="AH873" s="77"/>
      <c r="AI873" s="77"/>
      <c r="AJ873" s="77"/>
      <c r="AK873" s="77"/>
      <c r="AL873" s="77"/>
      <c r="AM873" s="77"/>
      <c r="AN873" s="77"/>
      <c r="AO873" s="77"/>
    </row>
    <row r="874" ht="13.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c r="AA874" s="77"/>
      <c r="AB874" s="77"/>
      <c r="AC874" s="77"/>
      <c r="AD874" s="77"/>
      <c r="AE874" s="77"/>
      <c r="AF874" s="77"/>
      <c r="AG874" s="77"/>
      <c r="AH874" s="77"/>
      <c r="AI874" s="77"/>
      <c r="AJ874" s="77"/>
      <c r="AK874" s="77"/>
      <c r="AL874" s="77"/>
      <c r="AM874" s="77"/>
      <c r="AN874" s="77"/>
      <c r="AO874" s="77"/>
    </row>
    <row r="875" ht="13.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c r="AA875" s="77"/>
      <c r="AB875" s="77"/>
      <c r="AC875" s="77"/>
      <c r="AD875" s="77"/>
      <c r="AE875" s="77"/>
      <c r="AF875" s="77"/>
      <c r="AG875" s="77"/>
      <c r="AH875" s="77"/>
      <c r="AI875" s="77"/>
      <c r="AJ875" s="77"/>
      <c r="AK875" s="77"/>
      <c r="AL875" s="77"/>
      <c r="AM875" s="77"/>
      <c r="AN875" s="77"/>
      <c r="AO875" s="77"/>
    </row>
    <row r="876" ht="13.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c r="AA876" s="77"/>
      <c r="AB876" s="77"/>
      <c r="AC876" s="77"/>
      <c r="AD876" s="77"/>
      <c r="AE876" s="77"/>
      <c r="AF876" s="77"/>
      <c r="AG876" s="77"/>
      <c r="AH876" s="77"/>
      <c r="AI876" s="77"/>
      <c r="AJ876" s="77"/>
      <c r="AK876" s="77"/>
      <c r="AL876" s="77"/>
      <c r="AM876" s="77"/>
      <c r="AN876" s="77"/>
      <c r="AO876" s="77"/>
    </row>
    <row r="877" ht="13.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c r="AA877" s="77"/>
      <c r="AB877" s="77"/>
      <c r="AC877" s="77"/>
      <c r="AD877" s="77"/>
      <c r="AE877" s="77"/>
      <c r="AF877" s="77"/>
      <c r="AG877" s="77"/>
      <c r="AH877" s="77"/>
      <c r="AI877" s="77"/>
      <c r="AJ877" s="77"/>
      <c r="AK877" s="77"/>
      <c r="AL877" s="77"/>
      <c r="AM877" s="77"/>
      <c r="AN877" s="77"/>
      <c r="AO877" s="77"/>
    </row>
    <row r="878" ht="13.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c r="AA878" s="77"/>
      <c r="AB878" s="77"/>
      <c r="AC878" s="77"/>
      <c r="AD878" s="77"/>
      <c r="AE878" s="77"/>
      <c r="AF878" s="77"/>
      <c r="AG878" s="77"/>
      <c r="AH878" s="77"/>
      <c r="AI878" s="77"/>
      <c r="AJ878" s="77"/>
      <c r="AK878" s="77"/>
      <c r="AL878" s="77"/>
      <c r="AM878" s="77"/>
      <c r="AN878" s="77"/>
      <c r="AO878" s="77"/>
    </row>
    <row r="879" ht="13.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c r="AA879" s="77"/>
      <c r="AB879" s="77"/>
      <c r="AC879" s="77"/>
      <c r="AD879" s="77"/>
      <c r="AE879" s="77"/>
      <c r="AF879" s="77"/>
      <c r="AG879" s="77"/>
      <c r="AH879" s="77"/>
      <c r="AI879" s="77"/>
      <c r="AJ879" s="77"/>
      <c r="AK879" s="77"/>
      <c r="AL879" s="77"/>
      <c r="AM879" s="77"/>
      <c r="AN879" s="77"/>
      <c r="AO879" s="77"/>
    </row>
    <row r="880" ht="13.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c r="AA880" s="77"/>
      <c r="AB880" s="77"/>
      <c r="AC880" s="77"/>
      <c r="AD880" s="77"/>
      <c r="AE880" s="77"/>
      <c r="AF880" s="77"/>
      <c r="AG880" s="77"/>
      <c r="AH880" s="77"/>
      <c r="AI880" s="77"/>
      <c r="AJ880" s="77"/>
      <c r="AK880" s="77"/>
      <c r="AL880" s="77"/>
      <c r="AM880" s="77"/>
      <c r="AN880" s="77"/>
      <c r="AO880" s="77"/>
    </row>
    <row r="881" ht="13.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c r="AA881" s="77"/>
      <c r="AB881" s="77"/>
      <c r="AC881" s="77"/>
      <c r="AD881" s="77"/>
      <c r="AE881" s="77"/>
      <c r="AF881" s="77"/>
      <c r="AG881" s="77"/>
      <c r="AH881" s="77"/>
      <c r="AI881" s="77"/>
      <c r="AJ881" s="77"/>
      <c r="AK881" s="77"/>
      <c r="AL881" s="77"/>
      <c r="AM881" s="77"/>
      <c r="AN881" s="77"/>
      <c r="AO881" s="77"/>
    </row>
    <row r="882" ht="13.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c r="AA882" s="77"/>
      <c r="AB882" s="77"/>
      <c r="AC882" s="77"/>
      <c r="AD882" s="77"/>
      <c r="AE882" s="77"/>
      <c r="AF882" s="77"/>
      <c r="AG882" s="77"/>
      <c r="AH882" s="77"/>
      <c r="AI882" s="77"/>
      <c r="AJ882" s="77"/>
      <c r="AK882" s="77"/>
      <c r="AL882" s="77"/>
      <c r="AM882" s="77"/>
      <c r="AN882" s="77"/>
      <c r="AO882" s="77"/>
    </row>
    <row r="883" ht="13.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c r="AA883" s="77"/>
      <c r="AB883" s="77"/>
      <c r="AC883" s="77"/>
      <c r="AD883" s="77"/>
      <c r="AE883" s="77"/>
      <c r="AF883" s="77"/>
      <c r="AG883" s="77"/>
      <c r="AH883" s="77"/>
      <c r="AI883" s="77"/>
      <c r="AJ883" s="77"/>
      <c r="AK883" s="77"/>
      <c r="AL883" s="77"/>
      <c r="AM883" s="77"/>
      <c r="AN883" s="77"/>
      <c r="AO883" s="77"/>
    </row>
    <row r="884" ht="13.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c r="AA884" s="77"/>
      <c r="AB884" s="77"/>
      <c r="AC884" s="77"/>
      <c r="AD884" s="77"/>
      <c r="AE884" s="77"/>
      <c r="AF884" s="77"/>
      <c r="AG884" s="77"/>
      <c r="AH884" s="77"/>
      <c r="AI884" s="77"/>
      <c r="AJ884" s="77"/>
      <c r="AK884" s="77"/>
      <c r="AL884" s="77"/>
      <c r="AM884" s="77"/>
      <c r="AN884" s="77"/>
      <c r="AO884" s="77"/>
    </row>
    <row r="885" ht="13.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c r="AA885" s="77"/>
      <c r="AB885" s="77"/>
      <c r="AC885" s="77"/>
      <c r="AD885" s="77"/>
      <c r="AE885" s="77"/>
      <c r="AF885" s="77"/>
      <c r="AG885" s="77"/>
      <c r="AH885" s="77"/>
      <c r="AI885" s="77"/>
      <c r="AJ885" s="77"/>
      <c r="AK885" s="77"/>
      <c r="AL885" s="77"/>
      <c r="AM885" s="77"/>
      <c r="AN885" s="77"/>
      <c r="AO885" s="77"/>
    </row>
    <row r="886" ht="13.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c r="AA886" s="77"/>
      <c r="AB886" s="77"/>
      <c r="AC886" s="77"/>
      <c r="AD886" s="77"/>
      <c r="AE886" s="77"/>
      <c r="AF886" s="77"/>
      <c r="AG886" s="77"/>
      <c r="AH886" s="77"/>
      <c r="AI886" s="77"/>
      <c r="AJ886" s="77"/>
      <c r="AK886" s="77"/>
      <c r="AL886" s="77"/>
      <c r="AM886" s="77"/>
      <c r="AN886" s="77"/>
      <c r="AO886" s="77"/>
    </row>
    <row r="887" ht="13.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c r="AA887" s="77"/>
      <c r="AB887" s="77"/>
      <c r="AC887" s="77"/>
      <c r="AD887" s="77"/>
      <c r="AE887" s="77"/>
      <c r="AF887" s="77"/>
      <c r="AG887" s="77"/>
      <c r="AH887" s="77"/>
      <c r="AI887" s="77"/>
      <c r="AJ887" s="77"/>
      <c r="AK887" s="77"/>
      <c r="AL887" s="77"/>
      <c r="AM887" s="77"/>
      <c r="AN887" s="77"/>
      <c r="AO887" s="77"/>
    </row>
    <row r="888" ht="13.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c r="AA888" s="77"/>
      <c r="AB888" s="77"/>
      <c r="AC888" s="77"/>
      <c r="AD888" s="77"/>
      <c r="AE888" s="77"/>
      <c r="AF888" s="77"/>
      <c r="AG888" s="77"/>
      <c r="AH888" s="77"/>
      <c r="AI888" s="77"/>
      <c r="AJ888" s="77"/>
      <c r="AK888" s="77"/>
      <c r="AL888" s="77"/>
      <c r="AM888" s="77"/>
      <c r="AN888" s="77"/>
      <c r="AO888" s="77"/>
    </row>
    <row r="889" ht="13.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c r="AA889" s="77"/>
      <c r="AB889" s="77"/>
      <c r="AC889" s="77"/>
      <c r="AD889" s="77"/>
      <c r="AE889" s="77"/>
      <c r="AF889" s="77"/>
      <c r="AG889" s="77"/>
      <c r="AH889" s="77"/>
      <c r="AI889" s="77"/>
      <c r="AJ889" s="77"/>
      <c r="AK889" s="77"/>
      <c r="AL889" s="77"/>
      <c r="AM889" s="77"/>
      <c r="AN889" s="77"/>
      <c r="AO889" s="77"/>
    </row>
    <row r="890" ht="13.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c r="AA890" s="77"/>
      <c r="AB890" s="77"/>
      <c r="AC890" s="77"/>
      <c r="AD890" s="77"/>
      <c r="AE890" s="77"/>
      <c r="AF890" s="77"/>
      <c r="AG890" s="77"/>
      <c r="AH890" s="77"/>
      <c r="AI890" s="77"/>
      <c r="AJ890" s="77"/>
      <c r="AK890" s="77"/>
      <c r="AL890" s="77"/>
      <c r="AM890" s="77"/>
      <c r="AN890" s="77"/>
      <c r="AO890" s="77"/>
    </row>
    <row r="891" ht="13.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c r="AA891" s="77"/>
      <c r="AB891" s="77"/>
      <c r="AC891" s="77"/>
      <c r="AD891" s="77"/>
      <c r="AE891" s="77"/>
      <c r="AF891" s="77"/>
      <c r="AG891" s="77"/>
      <c r="AH891" s="77"/>
      <c r="AI891" s="77"/>
      <c r="AJ891" s="77"/>
      <c r="AK891" s="77"/>
      <c r="AL891" s="77"/>
      <c r="AM891" s="77"/>
      <c r="AN891" s="77"/>
      <c r="AO891" s="77"/>
    </row>
    <row r="892" ht="13.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c r="AA892" s="77"/>
      <c r="AB892" s="77"/>
      <c r="AC892" s="77"/>
      <c r="AD892" s="77"/>
      <c r="AE892" s="77"/>
      <c r="AF892" s="77"/>
      <c r="AG892" s="77"/>
      <c r="AH892" s="77"/>
      <c r="AI892" s="77"/>
      <c r="AJ892" s="77"/>
      <c r="AK892" s="77"/>
      <c r="AL892" s="77"/>
      <c r="AM892" s="77"/>
      <c r="AN892" s="77"/>
      <c r="AO892" s="77"/>
    </row>
    <row r="893" ht="13.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c r="AA893" s="77"/>
      <c r="AB893" s="77"/>
      <c r="AC893" s="77"/>
      <c r="AD893" s="77"/>
      <c r="AE893" s="77"/>
      <c r="AF893" s="77"/>
      <c r="AG893" s="77"/>
      <c r="AH893" s="77"/>
      <c r="AI893" s="77"/>
      <c r="AJ893" s="77"/>
      <c r="AK893" s="77"/>
      <c r="AL893" s="77"/>
      <c r="AM893" s="77"/>
      <c r="AN893" s="77"/>
      <c r="AO893" s="77"/>
    </row>
    <row r="894" ht="13.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c r="AA894" s="77"/>
      <c r="AB894" s="77"/>
      <c r="AC894" s="77"/>
      <c r="AD894" s="77"/>
      <c r="AE894" s="77"/>
      <c r="AF894" s="77"/>
      <c r="AG894" s="77"/>
      <c r="AH894" s="77"/>
      <c r="AI894" s="77"/>
      <c r="AJ894" s="77"/>
      <c r="AK894" s="77"/>
      <c r="AL894" s="77"/>
      <c r="AM894" s="77"/>
      <c r="AN894" s="77"/>
      <c r="AO894" s="77"/>
    </row>
    <row r="895" ht="13.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c r="AA895" s="77"/>
      <c r="AB895" s="77"/>
      <c r="AC895" s="77"/>
      <c r="AD895" s="77"/>
      <c r="AE895" s="77"/>
      <c r="AF895" s="77"/>
      <c r="AG895" s="77"/>
      <c r="AH895" s="77"/>
      <c r="AI895" s="77"/>
      <c r="AJ895" s="77"/>
      <c r="AK895" s="77"/>
      <c r="AL895" s="77"/>
      <c r="AM895" s="77"/>
      <c r="AN895" s="77"/>
      <c r="AO895" s="77"/>
    </row>
    <row r="896" ht="13.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c r="AA896" s="77"/>
      <c r="AB896" s="77"/>
      <c r="AC896" s="77"/>
      <c r="AD896" s="77"/>
      <c r="AE896" s="77"/>
      <c r="AF896" s="77"/>
      <c r="AG896" s="77"/>
      <c r="AH896" s="77"/>
      <c r="AI896" s="77"/>
      <c r="AJ896" s="77"/>
      <c r="AK896" s="77"/>
      <c r="AL896" s="77"/>
      <c r="AM896" s="77"/>
      <c r="AN896" s="77"/>
      <c r="AO896" s="77"/>
    </row>
    <row r="897" ht="13.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c r="AA897" s="77"/>
      <c r="AB897" s="77"/>
      <c r="AC897" s="77"/>
      <c r="AD897" s="77"/>
      <c r="AE897" s="77"/>
      <c r="AF897" s="77"/>
      <c r="AG897" s="77"/>
      <c r="AH897" s="77"/>
      <c r="AI897" s="77"/>
      <c r="AJ897" s="77"/>
      <c r="AK897" s="77"/>
      <c r="AL897" s="77"/>
      <c r="AM897" s="77"/>
      <c r="AN897" s="77"/>
      <c r="AO897" s="77"/>
    </row>
    <row r="898" ht="13.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c r="AA898" s="77"/>
      <c r="AB898" s="77"/>
      <c r="AC898" s="77"/>
      <c r="AD898" s="77"/>
      <c r="AE898" s="77"/>
      <c r="AF898" s="77"/>
      <c r="AG898" s="77"/>
      <c r="AH898" s="77"/>
      <c r="AI898" s="77"/>
      <c r="AJ898" s="77"/>
      <c r="AK898" s="77"/>
      <c r="AL898" s="77"/>
      <c r="AM898" s="77"/>
      <c r="AN898" s="77"/>
      <c r="AO898" s="77"/>
    </row>
    <row r="899" ht="13.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c r="AA899" s="77"/>
      <c r="AB899" s="77"/>
      <c r="AC899" s="77"/>
      <c r="AD899" s="77"/>
      <c r="AE899" s="77"/>
      <c r="AF899" s="77"/>
      <c r="AG899" s="77"/>
      <c r="AH899" s="77"/>
      <c r="AI899" s="77"/>
      <c r="AJ899" s="77"/>
      <c r="AK899" s="77"/>
      <c r="AL899" s="77"/>
      <c r="AM899" s="77"/>
      <c r="AN899" s="77"/>
      <c r="AO899" s="77"/>
    </row>
    <row r="900" ht="13.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c r="AA900" s="77"/>
      <c r="AB900" s="77"/>
      <c r="AC900" s="77"/>
      <c r="AD900" s="77"/>
      <c r="AE900" s="77"/>
      <c r="AF900" s="77"/>
      <c r="AG900" s="77"/>
      <c r="AH900" s="77"/>
      <c r="AI900" s="77"/>
      <c r="AJ900" s="77"/>
      <c r="AK900" s="77"/>
      <c r="AL900" s="77"/>
      <c r="AM900" s="77"/>
      <c r="AN900" s="77"/>
      <c r="AO900" s="77"/>
    </row>
    <row r="901" ht="13.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c r="AA901" s="77"/>
      <c r="AB901" s="77"/>
      <c r="AC901" s="77"/>
      <c r="AD901" s="77"/>
      <c r="AE901" s="77"/>
      <c r="AF901" s="77"/>
      <c r="AG901" s="77"/>
      <c r="AH901" s="77"/>
      <c r="AI901" s="77"/>
      <c r="AJ901" s="77"/>
      <c r="AK901" s="77"/>
      <c r="AL901" s="77"/>
      <c r="AM901" s="77"/>
      <c r="AN901" s="77"/>
      <c r="AO901" s="77"/>
    </row>
    <row r="902" ht="13.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c r="AA902" s="77"/>
      <c r="AB902" s="77"/>
      <c r="AC902" s="77"/>
      <c r="AD902" s="77"/>
      <c r="AE902" s="77"/>
      <c r="AF902" s="77"/>
      <c r="AG902" s="77"/>
      <c r="AH902" s="77"/>
      <c r="AI902" s="77"/>
      <c r="AJ902" s="77"/>
      <c r="AK902" s="77"/>
      <c r="AL902" s="77"/>
      <c r="AM902" s="77"/>
      <c r="AN902" s="77"/>
      <c r="AO902" s="77"/>
    </row>
    <row r="903" ht="13.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c r="AA903" s="77"/>
      <c r="AB903" s="77"/>
      <c r="AC903" s="77"/>
      <c r="AD903" s="77"/>
      <c r="AE903" s="77"/>
      <c r="AF903" s="77"/>
      <c r="AG903" s="77"/>
      <c r="AH903" s="77"/>
      <c r="AI903" s="77"/>
      <c r="AJ903" s="77"/>
      <c r="AK903" s="77"/>
      <c r="AL903" s="77"/>
      <c r="AM903" s="77"/>
      <c r="AN903" s="77"/>
      <c r="AO903" s="77"/>
    </row>
    <row r="904" ht="13.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c r="AA904" s="77"/>
      <c r="AB904" s="77"/>
      <c r="AC904" s="77"/>
      <c r="AD904" s="77"/>
      <c r="AE904" s="77"/>
      <c r="AF904" s="77"/>
      <c r="AG904" s="77"/>
      <c r="AH904" s="77"/>
      <c r="AI904" s="77"/>
      <c r="AJ904" s="77"/>
      <c r="AK904" s="77"/>
      <c r="AL904" s="77"/>
      <c r="AM904" s="77"/>
      <c r="AN904" s="77"/>
      <c r="AO904" s="77"/>
    </row>
    <row r="905" ht="13.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c r="AA905" s="77"/>
      <c r="AB905" s="77"/>
      <c r="AC905" s="77"/>
      <c r="AD905" s="77"/>
      <c r="AE905" s="77"/>
      <c r="AF905" s="77"/>
      <c r="AG905" s="77"/>
      <c r="AH905" s="77"/>
      <c r="AI905" s="77"/>
      <c r="AJ905" s="77"/>
      <c r="AK905" s="77"/>
      <c r="AL905" s="77"/>
      <c r="AM905" s="77"/>
      <c r="AN905" s="77"/>
      <c r="AO905" s="77"/>
    </row>
    <row r="906" ht="13.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c r="AA906" s="77"/>
      <c r="AB906" s="77"/>
      <c r="AC906" s="77"/>
      <c r="AD906" s="77"/>
      <c r="AE906" s="77"/>
      <c r="AF906" s="77"/>
      <c r="AG906" s="77"/>
      <c r="AH906" s="77"/>
      <c r="AI906" s="77"/>
      <c r="AJ906" s="77"/>
      <c r="AK906" s="77"/>
      <c r="AL906" s="77"/>
      <c r="AM906" s="77"/>
      <c r="AN906" s="77"/>
      <c r="AO906" s="77"/>
    </row>
    <row r="907" ht="13.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c r="AA907" s="77"/>
      <c r="AB907" s="77"/>
      <c r="AC907" s="77"/>
      <c r="AD907" s="77"/>
      <c r="AE907" s="77"/>
      <c r="AF907" s="77"/>
      <c r="AG907" s="77"/>
      <c r="AH907" s="77"/>
      <c r="AI907" s="77"/>
      <c r="AJ907" s="77"/>
      <c r="AK907" s="77"/>
      <c r="AL907" s="77"/>
      <c r="AM907" s="77"/>
      <c r="AN907" s="77"/>
      <c r="AO907" s="77"/>
    </row>
    <row r="908" ht="13.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c r="AA908" s="77"/>
      <c r="AB908" s="77"/>
      <c r="AC908" s="77"/>
      <c r="AD908" s="77"/>
      <c r="AE908" s="77"/>
      <c r="AF908" s="77"/>
      <c r="AG908" s="77"/>
      <c r="AH908" s="77"/>
      <c r="AI908" s="77"/>
      <c r="AJ908" s="77"/>
      <c r="AK908" s="77"/>
      <c r="AL908" s="77"/>
      <c r="AM908" s="77"/>
      <c r="AN908" s="77"/>
      <c r="AO908" s="77"/>
    </row>
    <row r="909" ht="13.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c r="AA909" s="77"/>
      <c r="AB909" s="77"/>
      <c r="AC909" s="77"/>
      <c r="AD909" s="77"/>
      <c r="AE909" s="77"/>
      <c r="AF909" s="77"/>
      <c r="AG909" s="77"/>
      <c r="AH909" s="77"/>
      <c r="AI909" s="77"/>
      <c r="AJ909" s="77"/>
      <c r="AK909" s="77"/>
      <c r="AL909" s="77"/>
      <c r="AM909" s="77"/>
      <c r="AN909" s="77"/>
      <c r="AO909" s="77"/>
    </row>
    <row r="910" ht="13.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c r="AA910" s="77"/>
      <c r="AB910" s="77"/>
      <c r="AC910" s="77"/>
      <c r="AD910" s="77"/>
      <c r="AE910" s="77"/>
      <c r="AF910" s="77"/>
      <c r="AG910" s="77"/>
      <c r="AH910" s="77"/>
      <c r="AI910" s="77"/>
      <c r="AJ910" s="77"/>
      <c r="AK910" s="77"/>
      <c r="AL910" s="77"/>
      <c r="AM910" s="77"/>
      <c r="AN910" s="77"/>
      <c r="AO910" s="77"/>
    </row>
    <row r="911" ht="13.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c r="AA911" s="77"/>
      <c r="AB911" s="77"/>
      <c r="AC911" s="77"/>
      <c r="AD911" s="77"/>
      <c r="AE911" s="77"/>
      <c r="AF911" s="77"/>
      <c r="AG911" s="77"/>
      <c r="AH911" s="77"/>
      <c r="AI911" s="77"/>
      <c r="AJ911" s="77"/>
      <c r="AK911" s="77"/>
      <c r="AL911" s="77"/>
      <c r="AM911" s="77"/>
      <c r="AN911" s="77"/>
      <c r="AO911" s="77"/>
    </row>
    <row r="912" ht="13.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c r="AA912" s="77"/>
      <c r="AB912" s="77"/>
      <c r="AC912" s="77"/>
      <c r="AD912" s="77"/>
      <c r="AE912" s="77"/>
      <c r="AF912" s="77"/>
      <c r="AG912" s="77"/>
      <c r="AH912" s="77"/>
      <c r="AI912" s="77"/>
      <c r="AJ912" s="77"/>
      <c r="AK912" s="77"/>
      <c r="AL912" s="77"/>
      <c r="AM912" s="77"/>
      <c r="AN912" s="77"/>
      <c r="AO912" s="77"/>
    </row>
    <row r="913" ht="13.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c r="AA913" s="77"/>
      <c r="AB913" s="77"/>
      <c r="AC913" s="77"/>
      <c r="AD913" s="77"/>
      <c r="AE913" s="77"/>
      <c r="AF913" s="77"/>
      <c r="AG913" s="77"/>
      <c r="AH913" s="77"/>
      <c r="AI913" s="77"/>
      <c r="AJ913" s="77"/>
      <c r="AK913" s="77"/>
      <c r="AL913" s="77"/>
      <c r="AM913" s="77"/>
      <c r="AN913" s="77"/>
      <c r="AO913" s="77"/>
    </row>
    <row r="914" ht="13.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c r="AA914" s="77"/>
      <c r="AB914" s="77"/>
      <c r="AC914" s="77"/>
      <c r="AD914" s="77"/>
      <c r="AE914" s="77"/>
      <c r="AF914" s="77"/>
      <c r="AG914" s="77"/>
      <c r="AH914" s="77"/>
      <c r="AI914" s="77"/>
      <c r="AJ914" s="77"/>
      <c r="AK914" s="77"/>
      <c r="AL914" s="77"/>
      <c r="AM914" s="77"/>
      <c r="AN914" s="77"/>
      <c r="AO914" s="77"/>
    </row>
    <row r="915" ht="13.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c r="AA915" s="77"/>
      <c r="AB915" s="77"/>
      <c r="AC915" s="77"/>
      <c r="AD915" s="77"/>
      <c r="AE915" s="77"/>
      <c r="AF915" s="77"/>
      <c r="AG915" s="77"/>
      <c r="AH915" s="77"/>
      <c r="AI915" s="77"/>
      <c r="AJ915" s="77"/>
      <c r="AK915" s="77"/>
      <c r="AL915" s="77"/>
      <c r="AM915" s="77"/>
      <c r="AN915" s="77"/>
      <c r="AO915" s="77"/>
    </row>
    <row r="916" ht="13.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c r="AA916" s="77"/>
      <c r="AB916" s="77"/>
      <c r="AC916" s="77"/>
      <c r="AD916" s="77"/>
      <c r="AE916" s="77"/>
      <c r="AF916" s="77"/>
      <c r="AG916" s="77"/>
      <c r="AH916" s="77"/>
      <c r="AI916" s="77"/>
      <c r="AJ916" s="77"/>
      <c r="AK916" s="77"/>
      <c r="AL916" s="77"/>
      <c r="AM916" s="77"/>
      <c r="AN916" s="77"/>
      <c r="AO916" s="77"/>
    </row>
    <row r="917" ht="13.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c r="AA917" s="77"/>
      <c r="AB917" s="77"/>
      <c r="AC917" s="77"/>
      <c r="AD917" s="77"/>
      <c r="AE917" s="77"/>
      <c r="AF917" s="77"/>
      <c r="AG917" s="77"/>
      <c r="AH917" s="77"/>
      <c r="AI917" s="77"/>
      <c r="AJ917" s="77"/>
      <c r="AK917" s="77"/>
      <c r="AL917" s="77"/>
      <c r="AM917" s="77"/>
      <c r="AN917" s="77"/>
      <c r="AO917" s="77"/>
    </row>
    <row r="918" ht="13.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c r="AA918" s="77"/>
      <c r="AB918" s="77"/>
      <c r="AC918" s="77"/>
      <c r="AD918" s="77"/>
      <c r="AE918" s="77"/>
      <c r="AF918" s="77"/>
      <c r="AG918" s="77"/>
      <c r="AH918" s="77"/>
      <c r="AI918" s="77"/>
      <c r="AJ918" s="77"/>
      <c r="AK918" s="77"/>
      <c r="AL918" s="77"/>
      <c r="AM918" s="77"/>
      <c r="AN918" s="77"/>
      <c r="AO918" s="77"/>
    </row>
    <row r="919" ht="13.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c r="AA919" s="77"/>
      <c r="AB919" s="77"/>
      <c r="AC919" s="77"/>
      <c r="AD919" s="77"/>
      <c r="AE919" s="77"/>
      <c r="AF919" s="77"/>
      <c r="AG919" s="77"/>
      <c r="AH919" s="77"/>
      <c r="AI919" s="77"/>
      <c r="AJ919" s="77"/>
      <c r="AK919" s="77"/>
      <c r="AL919" s="77"/>
      <c r="AM919" s="77"/>
      <c r="AN919" s="77"/>
      <c r="AO919" s="77"/>
    </row>
    <row r="920" ht="13.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c r="AA920" s="77"/>
      <c r="AB920" s="77"/>
      <c r="AC920" s="77"/>
      <c r="AD920" s="77"/>
      <c r="AE920" s="77"/>
      <c r="AF920" s="77"/>
      <c r="AG920" s="77"/>
      <c r="AH920" s="77"/>
      <c r="AI920" s="77"/>
      <c r="AJ920" s="77"/>
      <c r="AK920" s="77"/>
      <c r="AL920" s="77"/>
      <c r="AM920" s="77"/>
      <c r="AN920" s="77"/>
      <c r="AO920" s="77"/>
    </row>
    <row r="921" ht="13.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c r="AA921" s="77"/>
      <c r="AB921" s="77"/>
      <c r="AC921" s="77"/>
      <c r="AD921" s="77"/>
      <c r="AE921" s="77"/>
      <c r="AF921" s="77"/>
      <c r="AG921" s="77"/>
      <c r="AH921" s="77"/>
      <c r="AI921" s="77"/>
      <c r="AJ921" s="77"/>
      <c r="AK921" s="77"/>
      <c r="AL921" s="77"/>
      <c r="AM921" s="77"/>
      <c r="AN921" s="77"/>
      <c r="AO921" s="77"/>
    </row>
    <row r="922" ht="13.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c r="AA922" s="77"/>
      <c r="AB922" s="77"/>
      <c r="AC922" s="77"/>
      <c r="AD922" s="77"/>
      <c r="AE922" s="77"/>
      <c r="AF922" s="77"/>
      <c r="AG922" s="77"/>
      <c r="AH922" s="77"/>
      <c r="AI922" s="77"/>
      <c r="AJ922" s="77"/>
      <c r="AK922" s="77"/>
      <c r="AL922" s="77"/>
      <c r="AM922" s="77"/>
      <c r="AN922" s="77"/>
      <c r="AO922" s="77"/>
    </row>
    <row r="923" ht="13.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c r="AA923" s="77"/>
      <c r="AB923" s="77"/>
      <c r="AC923" s="77"/>
      <c r="AD923" s="77"/>
      <c r="AE923" s="77"/>
      <c r="AF923" s="77"/>
      <c r="AG923" s="77"/>
      <c r="AH923" s="77"/>
      <c r="AI923" s="77"/>
      <c r="AJ923" s="77"/>
      <c r="AK923" s="77"/>
      <c r="AL923" s="77"/>
      <c r="AM923" s="77"/>
      <c r="AN923" s="77"/>
      <c r="AO923" s="77"/>
    </row>
    <row r="924" ht="13.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c r="AA924" s="77"/>
      <c r="AB924" s="77"/>
      <c r="AC924" s="77"/>
      <c r="AD924" s="77"/>
      <c r="AE924" s="77"/>
      <c r="AF924" s="77"/>
      <c r="AG924" s="77"/>
      <c r="AH924" s="77"/>
      <c r="AI924" s="77"/>
      <c r="AJ924" s="77"/>
      <c r="AK924" s="77"/>
      <c r="AL924" s="77"/>
      <c r="AM924" s="77"/>
      <c r="AN924" s="77"/>
      <c r="AO924" s="77"/>
    </row>
    <row r="925" ht="13.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c r="AA925" s="77"/>
      <c r="AB925" s="77"/>
      <c r="AC925" s="77"/>
      <c r="AD925" s="77"/>
      <c r="AE925" s="77"/>
      <c r="AF925" s="77"/>
      <c r="AG925" s="77"/>
      <c r="AH925" s="77"/>
      <c r="AI925" s="77"/>
      <c r="AJ925" s="77"/>
      <c r="AK925" s="77"/>
      <c r="AL925" s="77"/>
      <c r="AM925" s="77"/>
      <c r="AN925" s="77"/>
      <c r="AO925" s="77"/>
    </row>
    <row r="926" ht="13.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c r="AA926" s="77"/>
      <c r="AB926" s="77"/>
      <c r="AC926" s="77"/>
      <c r="AD926" s="77"/>
      <c r="AE926" s="77"/>
      <c r="AF926" s="77"/>
      <c r="AG926" s="77"/>
      <c r="AH926" s="77"/>
      <c r="AI926" s="77"/>
      <c r="AJ926" s="77"/>
      <c r="AK926" s="77"/>
      <c r="AL926" s="77"/>
      <c r="AM926" s="77"/>
      <c r="AN926" s="77"/>
      <c r="AO926" s="77"/>
    </row>
    <row r="927" ht="13.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c r="AA927" s="77"/>
      <c r="AB927" s="77"/>
      <c r="AC927" s="77"/>
      <c r="AD927" s="77"/>
      <c r="AE927" s="77"/>
      <c r="AF927" s="77"/>
      <c r="AG927" s="77"/>
      <c r="AH927" s="77"/>
      <c r="AI927" s="77"/>
      <c r="AJ927" s="77"/>
      <c r="AK927" s="77"/>
      <c r="AL927" s="77"/>
      <c r="AM927" s="77"/>
      <c r="AN927" s="77"/>
      <c r="AO927" s="77"/>
    </row>
    <row r="928" ht="13.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c r="AA928" s="77"/>
      <c r="AB928" s="77"/>
      <c r="AC928" s="77"/>
      <c r="AD928" s="77"/>
      <c r="AE928" s="77"/>
      <c r="AF928" s="77"/>
      <c r="AG928" s="77"/>
      <c r="AH928" s="77"/>
      <c r="AI928" s="77"/>
      <c r="AJ928" s="77"/>
      <c r="AK928" s="77"/>
      <c r="AL928" s="77"/>
      <c r="AM928" s="77"/>
      <c r="AN928" s="77"/>
      <c r="AO928" s="77"/>
    </row>
    <row r="929" ht="13.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c r="AA929" s="77"/>
      <c r="AB929" s="77"/>
      <c r="AC929" s="77"/>
      <c r="AD929" s="77"/>
      <c r="AE929" s="77"/>
      <c r="AF929" s="77"/>
      <c r="AG929" s="77"/>
      <c r="AH929" s="77"/>
      <c r="AI929" s="77"/>
      <c r="AJ929" s="77"/>
      <c r="AK929" s="77"/>
      <c r="AL929" s="77"/>
      <c r="AM929" s="77"/>
      <c r="AN929" s="77"/>
      <c r="AO929" s="77"/>
    </row>
    <row r="930" ht="13.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c r="AA930" s="77"/>
      <c r="AB930" s="77"/>
      <c r="AC930" s="77"/>
      <c r="AD930" s="77"/>
      <c r="AE930" s="77"/>
      <c r="AF930" s="77"/>
      <c r="AG930" s="77"/>
      <c r="AH930" s="77"/>
      <c r="AI930" s="77"/>
      <c r="AJ930" s="77"/>
      <c r="AK930" s="77"/>
      <c r="AL930" s="77"/>
      <c r="AM930" s="77"/>
      <c r="AN930" s="77"/>
      <c r="AO930" s="77"/>
    </row>
    <row r="931" ht="13.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c r="AA931" s="77"/>
      <c r="AB931" s="77"/>
      <c r="AC931" s="77"/>
      <c r="AD931" s="77"/>
      <c r="AE931" s="77"/>
      <c r="AF931" s="77"/>
      <c r="AG931" s="77"/>
      <c r="AH931" s="77"/>
      <c r="AI931" s="77"/>
      <c r="AJ931" s="77"/>
      <c r="AK931" s="77"/>
      <c r="AL931" s="77"/>
      <c r="AM931" s="77"/>
      <c r="AN931" s="77"/>
      <c r="AO931" s="77"/>
    </row>
    <row r="932" ht="13.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c r="AA932" s="77"/>
      <c r="AB932" s="77"/>
      <c r="AC932" s="77"/>
      <c r="AD932" s="77"/>
      <c r="AE932" s="77"/>
      <c r="AF932" s="77"/>
      <c r="AG932" s="77"/>
      <c r="AH932" s="77"/>
      <c r="AI932" s="77"/>
      <c r="AJ932" s="77"/>
      <c r="AK932" s="77"/>
      <c r="AL932" s="77"/>
      <c r="AM932" s="77"/>
      <c r="AN932" s="77"/>
      <c r="AO932" s="77"/>
    </row>
    <row r="933" ht="13.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c r="AA933" s="77"/>
      <c r="AB933" s="77"/>
      <c r="AC933" s="77"/>
      <c r="AD933" s="77"/>
      <c r="AE933" s="77"/>
      <c r="AF933" s="77"/>
      <c r="AG933" s="77"/>
      <c r="AH933" s="77"/>
      <c r="AI933" s="77"/>
      <c r="AJ933" s="77"/>
      <c r="AK933" s="77"/>
      <c r="AL933" s="77"/>
      <c r="AM933" s="77"/>
      <c r="AN933" s="77"/>
      <c r="AO933" s="77"/>
    </row>
    <row r="934" ht="13.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c r="AA934" s="77"/>
      <c r="AB934" s="77"/>
      <c r="AC934" s="77"/>
      <c r="AD934" s="77"/>
      <c r="AE934" s="77"/>
      <c r="AF934" s="77"/>
      <c r="AG934" s="77"/>
      <c r="AH934" s="77"/>
      <c r="AI934" s="77"/>
      <c r="AJ934" s="77"/>
      <c r="AK934" s="77"/>
      <c r="AL934" s="77"/>
      <c r="AM934" s="77"/>
      <c r="AN934" s="77"/>
      <c r="AO934" s="77"/>
    </row>
    <row r="935" ht="13.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c r="AA935" s="77"/>
      <c r="AB935" s="77"/>
      <c r="AC935" s="77"/>
      <c r="AD935" s="77"/>
      <c r="AE935" s="77"/>
      <c r="AF935" s="77"/>
      <c r="AG935" s="77"/>
      <c r="AH935" s="77"/>
      <c r="AI935" s="77"/>
      <c r="AJ935" s="77"/>
      <c r="AK935" s="77"/>
      <c r="AL935" s="77"/>
      <c r="AM935" s="77"/>
      <c r="AN935" s="77"/>
      <c r="AO935" s="77"/>
    </row>
    <row r="936" ht="13.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c r="AA936" s="77"/>
      <c r="AB936" s="77"/>
      <c r="AC936" s="77"/>
      <c r="AD936" s="77"/>
      <c r="AE936" s="77"/>
      <c r="AF936" s="77"/>
      <c r="AG936" s="77"/>
      <c r="AH936" s="77"/>
      <c r="AI936" s="77"/>
      <c r="AJ936" s="77"/>
      <c r="AK936" s="77"/>
      <c r="AL936" s="77"/>
      <c r="AM936" s="77"/>
      <c r="AN936" s="77"/>
      <c r="AO936" s="77"/>
    </row>
    <row r="937" ht="13.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c r="AA937" s="77"/>
      <c r="AB937" s="77"/>
      <c r="AC937" s="77"/>
      <c r="AD937" s="77"/>
      <c r="AE937" s="77"/>
      <c r="AF937" s="77"/>
      <c r="AG937" s="77"/>
      <c r="AH937" s="77"/>
      <c r="AI937" s="77"/>
      <c r="AJ937" s="77"/>
      <c r="AK937" s="77"/>
      <c r="AL937" s="77"/>
      <c r="AM937" s="77"/>
      <c r="AN937" s="77"/>
      <c r="AO937" s="77"/>
    </row>
    <row r="938" ht="13.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c r="AA938" s="77"/>
      <c r="AB938" s="77"/>
      <c r="AC938" s="77"/>
      <c r="AD938" s="77"/>
      <c r="AE938" s="77"/>
      <c r="AF938" s="77"/>
      <c r="AG938" s="77"/>
      <c r="AH938" s="77"/>
      <c r="AI938" s="77"/>
      <c r="AJ938" s="77"/>
      <c r="AK938" s="77"/>
      <c r="AL938" s="77"/>
      <c r="AM938" s="77"/>
      <c r="AN938" s="77"/>
      <c r="AO938" s="77"/>
    </row>
    <row r="939" ht="13.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c r="AA939" s="77"/>
      <c r="AB939" s="77"/>
      <c r="AC939" s="77"/>
      <c r="AD939" s="77"/>
      <c r="AE939" s="77"/>
      <c r="AF939" s="77"/>
      <c r="AG939" s="77"/>
      <c r="AH939" s="77"/>
      <c r="AI939" s="77"/>
      <c r="AJ939" s="77"/>
      <c r="AK939" s="77"/>
      <c r="AL939" s="77"/>
      <c r="AM939" s="77"/>
      <c r="AN939" s="77"/>
      <c r="AO939" s="77"/>
    </row>
    <row r="940" ht="13.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c r="AA940" s="77"/>
      <c r="AB940" s="77"/>
      <c r="AC940" s="77"/>
      <c r="AD940" s="77"/>
      <c r="AE940" s="77"/>
      <c r="AF940" s="77"/>
      <c r="AG940" s="77"/>
      <c r="AH940" s="77"/>
      <c r="AI940" s="77"/>
      <c r="AJ940" s="77"/>
      <c r="AK940" s="77"/>
      <c r="AL940" s="77"/>
      <c r="AM940" s="77"/>
      <c r="AN940" s="77"/>
      <c r="AO940" s="77"/>
    </row>
    <row r="941" ht="13.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c r="AA941" s="77"/>
      <c r="AB941" s="77"/>
      <c r="AC941" s="77"/>
      <c r="AD941" s="77"/>
      <c r="AE941" s="77"/>
      <c r="AF941" s="77"/>
      <c r="AG941" s="77"/>
      <c r="AH941" s="77"/>
      <c r="AI941" s="77"/>
      <c r="AJ941" s="77"/>
      <c r="AK941" s="77"/>
      <c r="AL941" s="77"/>
      <c r="AM941" s="77"/>
      <c r="AN941" s="77"/>
      <c r="AO941" s="77"/>
    </row>
    <row r="942" ht="13.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c r="AA942" s="77"/>
      <c r="AB942" s="77"/>
      <c r="AC942" s="77"/>
      <c r="AD942" s="77"/>
      <c r="AE942" s="77"/>
      <c r="AF942" s="77"/>
      <c r="AG942" s="77"/>
      <c r="AH942" s="77"/>
      <c r="AI942" s="77"/>
      <c r="AJ942" s="77"/>
      <c r="AK942" s="77"/>
      <c r="AL942" s="77"/>
      <c r="AM942" s="77"/>
      <c r="AN942" s="77"/>
      <c r="AO942" s="77"/>
    </row>
    <row r="943" ht="13.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c r="AA943" s="77"/>
      <c r="AB943" s="77"/>
      <c r="AC943" s="77"/>
      <c r="AD943" s="77"/>
      <c r="AE943" s="77"/>
      <c r="AF943" s="77"/>
      <c r="AG943" s="77"/>
      <c r="AH943" s="77"/>
      <c r="AI943" s="77"/>
      <c r="AJ943" s="77"/>
      <c r="AK943" s="77"/>
      <c r="AL943" s="77"/>
      <c r="AM943" s="77"/>
      <c r="AN943" s="77"/>
      <c r="AO943" s="77"/>
    </row>
    <row r="944" ht="13.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c r="AA944" s="77"/>
      <c r="AB944" s="77"/>
      <c r="AC944" s="77"/>
      <c r="AD944" s="77"/>
      <c r="AE944" s="77"/>
      <c r="AF944" s="77"/>
      <c r="AG944" s="77"/>
      <c r="AH944" s="77"/>
      <c r="AI944" s="77"/>
      <c r="AJ944" s="77"/>
      <c r="AK944" s="77"/>
      <c r="AL944" s="77"/>
      <c r="AM944" s="77"/>
      <c r="AN944" s="77"/>
      <c r="AO944" s="77"/>
    </row>
    <row r="945" ht="13.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c r="AA945" s="77"/>
      <c r="AB945" s="77"/>
      <c r="AC945" s="77"/>
      <c r="AD945" s="77"/>
      <c r="AE945" s="77"/>
      <c r="AF945" s="77"/>
      <c r="AG945" s="77"/>
      <c r="AH945" s="77"/>
      <c r="AI945" s="77"/>
      <c r="AJ945" s="77"/>
      <c r="AK945" s="77"/>
      <c r="AL945" s="77"/>
      <c r="AM945" s="77"/>
      <c r="AN945" s="77"/>
      <c r="AO945" s="77"/>
    </row>
    <row r="946" ht="13.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c r="AA946" s="77"/>
      <c r="AB946" s="77"/>
      <c r="AC946" s="77"/>
      <c r="AD946" s="77"/>
      <c r="AE946" s="77"/>
      <c r="AF946" s="77"/>
      <c r="AG946" s="77"/>
      <c r="AH946" s="77"/>
      <c r="AI946" s="77"/>
      <c r="AJ946" s="77"/>
      <c r="AK946" s="77"/>
      <c r="AL946" s="77"/>
      <c r="AM946" s="77"/>
      <c r="AN946" s="77"/>
      <c r="AO946" s="77"/>
    </row>
    <row r="947" ht="13.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c r="AA947" s="77"/>
      <c r="AB947" s="77"/>
      <c r="AC947" s="77"/>
      <c r="AD947" s="77"/>
      <c r="AE947" s="77"/>
      <c r="AF947" s="77"/>
      <c r="AG947" s="77"/>
      <c r="AH947" s="77"/>
      <c r="AI947" s="77"/>
      <c r="AJ947" s="77"/>
      <c r="AK947" s="77"/>
      <c r="AL947" s="77"/>
      <c r="AM947" s="77"/>
      <c r="AN947" s="77"/>
      <c r="AO947" s="77"/>
    </row>
    <row r="948" ht="13.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c r="AA948" s="77"/>
      <c r="AB948" s="77"/>
      <c r="AC948" s="77"/>
      <c r="AD948" s="77"/>
      <c r="AE948" s="77"/>
      <c r="AF948" s="77"/>
      <c r="AG948" s="77"/>
      <c r="AH948" s="77"/>
      <c r="AI948" s="77"/>
      <c r="AJ948" s="77"/>
      <c r="AK948" s="77"/>
      <c r="AL948" s="77"/>
      <c r="AM948" s="77"/>
      <c r="AN948" s="77"/>
      <c r="AO948" s="77"/>
    </row>
    <row r="949" ht="13.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c r="AA949" s="77"/>
      <c r="AB949" s="77"/>
      <c r="AC949" s="77"/>
      <c r="AD949" s="77"/>
      <c r="AE949" s="77"/>
      <c r="AF949" s="77"/>
      <c r="AG949" s="77"/>
      <c r="AH949" s="77"/>
      <c r="AI949" s="77"/>
      <c r="AJ949" s="77"/>
      <c r="AK949" s="77"/>
      <c r="AL949" s="77"/>
      <c r="AM949" s="77"/>
      <c r="AN949" s="77"/>
      <c r="AO949" s="77"/>
    </row>
    <row r="950" ht="13.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c r="AA950" s="77"/>
      <c r="AB950" s="77"/>
      <c r="AC950" s="77"/>
      <c r="AD950" s="77"/>
      <c r="AE950" s="77"/>
      <c r="AF950" s="77"/>
      <c r="AG950" s="77"/>
      <c r="AH950" s="77"/>
      <c r="AI950" s="77"/>
      <c r="AJ950" s="77"/>
      <c r="AK950" s="77"/>
      <c r="AL950" s="77"/>
      <c r="AM950" s="77"/>
      <c r="AN950" s="77"/>
      <c r="AO950" s="77"/>
    </row>
    <row r="951" ht="13.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c r="AA951" s="77"/>
      <c r="AB951" s="77"/>
      <c r="AC951" s="77"/>
      <c r="AD951" s="77"/>
      <c r="AE951" s="77"/>
      <c r="AF951" s="77"/>
      <c r="AG951" s="77"/>
      <c r="AH951" s="77"/>
      <c r="AI951" s="77"/>
      <c r="AJ951" s="77"/>
      <c r="AK951" s="77"/>
      <c r="AL951" s="77"/>
      <c r="AM951" s="77"/>
      <c r="AN951" s="77"/>
      <c r="AO951" s="77"/>
    </row>
    <row r="952" ht="13.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c r="AA952" s="77"/>
      <c r="AB952" s="77"/>
      <c r="AC952" s="77"/>
      <c r="AD952" s="77"/>
      <c r="AE952" s="77"/>
      <c r="AF952" s="77"/>
      <c r="AG952" s="77"/>
      <c r="AH952" s="77"/>
      <c r="AI952" s="77"/>
      <c r="AJ952" s="77"/>
      <c r="AK952" s="77"/>
      <c r="AL952" s="77"/>
      <c r="AM952" s="77"/>
      <c r="AN952" s="77"/>
      <c r="AO952" s="77"/>
    </row>
    <row r="953" ht="13.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c r="AA953" s="77"/>
      <c r="AB953" s="77"/>
      <c r="AC953" s="77"/>
      <c r="AD953" s="77"/>
      <c r="AE953" s="77"/>
      <c r="AF953" s="77"/>
      <c r="AG953" s="77"/>
      <c r="AH953" s="77"/>
      <c r="AI953" s="77"/>
      <c r="AJ953" s="77"/>
      <c r="AK953" s="77"/>
      <c r="AL953" s="77"/>
      <c r="AM953" s="77"/>
      <c r="AN953" s="77"/>
      <c r="AO953" s="77"/>
    </row>
    <row r="954" ht="13.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c r="AA954" s="77"/>
      <c r="AB954" s="77"/>
      <c r="AC954" s="77"/>
      <c r="AD954" s="77"/>
      <c r="AE954" s="77"/>
      <c r="AF954" s="77"/>
      <c r="AG954" s="77"/>
      <c r="AH954" s="77"/>
      <c r="AI954" s="77"/>
      <c r="AJ954" s="77"/>
      <c r="AK954" s="77"/>
      <c r="AL954" s="77"/>
      <c r="AM954" s="77"/>
      <c r="AN954" s="77"/>
      <c r="AO954" s="77"/>
    </row>
    <row r="955" ht="13.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c r="AA955" s="77"/>
      <c r="AB955" s="77"/>
      <c r="AC955" s="77"/>
      <c r="AD955" s="77"/>
      <c r="AE955" s="77"/>
      <c r="AF955" s="77"/>
      <c r="AG955" s="77"/>
      <c r="AH955" s="77"/>
      <c r="AI955" s="77"/>
      <c r="AJ955" s="77"/>
      <c r="AK955" s="77"/>
      <c r="AL955" s="77"/>
      <c r="AM955" s="77"/>
      <c r="AN955" s="77"/>
      <c r="AO955" s="77"/>
    </row>
    <row r="956" ht="13.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c r="AA956" s="77"/>
      <c r="AB956" s="77"/>
      <c r="AC956" s="77"/>
      <c r="AD956" s="77"/>
      <c r="AE956" s="77"/>
      <c r="AF956" s="77"/>
      <c r="AG956" s="77"/>
      <c r="AH956" s="77"/>
      <c r="AI956" s="77"/>
      <c r="AJ956" s="77"/>
      <c r="AK956" s="77"/>
      <c r="AL956" s="77"/>
      <c r="AM956" s="77"/>
      <c r="AN956" s="77"/>
      <c r="AO956" s="77"/>
    </row>
    <row r="957" ht="13.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c r="AA957" s="77"/>
      <c r="AB957" s="77"/>
      <c r="AC957" s="77"/>
      <c r="AD957" s="77"/>
      <c r="AE957" s="77"/>
      <c r="AF957" s="77"/>
      <c r="AG957" s="77"/>
      <c r="AH957" s="77"/>
      <c r="AI957" s="77"/>
      <c r="AJ957" s="77"/>
      <c r="AK957" s="77"/>
      <c r="AL957" s="77"/>
      <c r="AM957" s="77"/>
      <c r="AN957" s="77"/>
      <c r="AO957" s="77"/>
    </row>
    <row r="958" ht="13.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c r="AA958" s="77"/>
      <c r="AB958" s="77"/>
      <c r="AC958" s="77"/>
      <c r="AD958" s="77"/>
      <c r="AE958" s="77"/>
      <c r="AF958" s="77"/>
      <c r="AG958" s="77"/>
      <c r="AH958" s="77"/>
      <c r="AI958" s="77"/>
      <c r="AJ958" s="77"/>
      <c r="AK958" s="77"/>
      <c r="AL958" s="77"/>
      <c r="AM958" s="77"/>
      <c r="AN958" s="77"/>
      <c r="AO958" s="77"/>
    </row>
    <row r="959" ht="13.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c r="AA959" s="77"/>
      <c r="AB959" s="77"/>
      <c r="AC959" s="77"/>
      <c r="AD959" s="77"/>
      <c r="AE959" s="77"/>
      <c r="AF959" s="77"/>
      <c r="AG959" s="77"/>
      <c r="AH959" s="77"/>
      <c r="AI959" s="77"/>
      <c r="AJ959" s="77"/>
      <c r="AK959" s="77"/>
      <c r="AL959" s="77"/>
      <c r="AM959" s="77"/>
      <c r="AN959" s="77"/>
      <c r="AO959" s="77"/>
    </row>
    <row r="960" ht="13.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c r="AA960" s="77"/>
      <c r="AB960" s="77"/>
      <c r="AC960" s="77"/>
      <c r="AD960" s="77"/>
      <c r="AE960" s="77"/>
      <c r="AF960" s="77"/>
      <c r="AG960" s="77"/>
      <c r="AH960" s="77"/>
      <c r="AI960" s="77"/>
      <c r="AJ960" s="77"/>
      <c r="AK960" s="77"/>
      <c r="AL960" s="77"/>
      <c r="AM960" s="77"/>
      <c r="AN960" s="77"/>
      <c r="AO960" s="77"/>
    </row>
    <row r="961" ht="13.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c r="AA961" s="77"/>
      <c r="AB961" s="77"/>
      <c r="AC961" s="77"/>
      <c r="AD961" s="77"/>
      <c r="AE961" s="77"/>
      <c r="AF961" s="77"/>
      <c r="AG961" s="77"/>
      <c r="AH961" s="77"/>
      <c r="AI961" s="77"/>
      <c r="AJ961" s="77"/>
      <c r="AK961" s="77"/>
      <c r="AL961" s="77"/>
      <c r="AM961" s="77"/>
      <c r="AN961" s="77"/>
      <c r="AO961" s="77"/>
    </row>
    <row r="962" ht="13.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c r="AA962" s="77"/>
      <c r="AB962" s="77"/>
      <c r="AC962" s="77"/>
      <c r="AD962" s="77"/>
      <c r="AE962" s="77"/>
      <c r="AF962" s="77"/>
      <c r="AG962" s="77"/>
      <c r="AH962" s="77"/>
      <c r="AI962" s="77"/>
      <c r="AJ962" s="77"/>
      <c r="AK962" s="77"/>
      <c r="AL962" s="77"/>
      <c r="AM962" s="77"/>
      <c r="AN962" s="77"/>
      <c r="AO962" s="77"/>
    </row>
    <row r="963" ht="13.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c r="AA963" s="77"/>
      <c r="AB963" s="77"/>
      <c r="AC963" s="77"/>
      <c r="AD963" s="77"/>
      <c r="AE963" s="77"/>
      <c r="AF963" s="77"/>
      <c r="AG963" s="77"/>
      <c r="AH963" s="77"/>
      <c r="AI963" s="77"/>
      <c r="AJ963" s="77"/>
      <c r="AK963" s="77"/>
      <c r="AL963" s="77"/>
      <c r="AM963" s="77"/>
      <c r="AN963" s="77"/>
      <c r="AO963" s="77"/>
    </row>
    <row r="964" ht="13.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c r="AA964" s="77"/>
      <c r="AB964" s="77"/>
      <c r="AC964" s="77"/>
      <c r="AD964" s="77"/>
      <c r="AE964" s="77"/>
      <c r="AF964" s="77"/>
      <c r="AG964" s="77"/>
      <c r="AH964" s="77"/>
      <c r="AI964" s="77"/>
      <c r="AJ964" s="77"/>
      <c r="AK964" s="77"/>
      <c r="AL964" s="77"/>
      <c r="AM964" s="77"/>
      <c r="AN964" s="77"/>
      <c r="AO964" s="77"/>
    </row>
    <row r="965" ht="13.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c r="AA965" s="77"/>
      <c r="AB965" s="77"/>
      <c r="AC965" s="77"/>
      <c r="AD965" s="77"/>
      <c r="AE965" s="77"/>
      <c r="AF965" s="77"/>
      <c r="AG965" s="77"/>
      <c r="AH965" s="77"/>
      <c r="AI965" s="77"/>
      <c r="AJ965" s="77"/>
      <c r="AK965" s="77"/>
      <c r="AL965" s="77"/>
      <c r="AM965" s="77"/>
      <c r="AN965" s="77"/>
      <c r="AO965" s="77"/>
    </row>
    <row r="966" ht="13.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c r="AA966" s="77"/>
      <c r="AB966" s="77"/>
      <c r="AC966" s="77"/>
      <c r="AD966" s="77"/>
      <c r="AE966" s="77"/>
      <c r="AF966" s="77"/>
      <c r="AG966" s="77"/>
      <c r="AH966" s="77"/>
      <c r="AI966" s="77"/>
      <c r="AJ966" s="77"/>
      <c r="AK966" s="77"/>
      <c r="AL966" s="77"/>
      <c r="AM966" s="77"/>
      <c r="AN966" s="77"/>
      <c r="AO966" s="77"/>
    </row>
    <row r="967" ht="13.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c r="AA967" s="77"/>
      <c r="AB967" s="77"/>
      <c r="AC967" s="77"/>
      <c r="AD967" s="77"/>
      <c r="AE967" s="77"/>
      <c r="AF967" s="77"/>
      <c r="AG967" s="77"/>
      <c r="AH967" s="77"/>
      <c r="AI967" s="77"/>
      <c r="AJ967" s="77"/>
      <c r="AK967" s="77"/>
      <c r="AL967" s="77"/>
      <c r="AM967" s="77"/>
      <c r="AN967" s="77"/>
      <c r="AO967" s="77"/>
    </row>
    <row r="968" ht="13.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c r="AA968" s="77"/>
      <c r="AB968" s="77"/>
      <c r="AC968" s="77"/>
      <c r="AD968" s="77"/>
      <c r="AE968" s="77"/>
      <c r="AF968" s="77"/>
      <c r="AG968" s="77"/>
      <c r="AH968" s="77"/>
      <c r="AI968" s="77"/>
      <c r="AJ968" s="77"/>
      <c r="AK968" s="77"/>
      <c r="AL968" s="77"/>
      <c r="AM968" s="77"/>
      <c r="AN968" s="77"/>
      <c r="AO968" s="77"/>
    </row>
    <row r="969" ht="13.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c r="AA969" s="77"/>
      <c r="AB969" s="77"/>
      <c r="AC969" s="77"/>
      <c r="AD969" s="77"/>
      <c r="AE969" s="77"/>
      <c r="AF969" s="77"/>
      <c r="AG969" s="77"/>
      <c r="AH969" s="77"/>
      <c r="AI969" s="77"/>
      <c r="AJ969" s="77"/>
      <c r="AK969" s="77"/>
      <c r="AL969" s="77"/>
      <c r="AM969" s="77"/>
      <c r="AN969" s="77"/>
      <c r="AO969" s="77"/>
    </row>
    <row r="970" ht="13.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c r="AA970" s="77"/>
      <c r="AB970" s="77"/>
      <c r="AC970" s="77"/>
      <c r="AD970" s="77"/>
      <c r="AE970" s="77"/>
      <c r="AF970" s="77"/>
      <c r="AG970" s="77"/>
      <c r="AH970" s="77"/>
      <c r="AI970" s="77"/>
      <c r="AJ970" s="77"/>
      <c r="AK970" s="77"/>
      <c r="AL970" s="77"/>
      <c r="AM970" s="77"/>
      <c r="AN970" s="77"/>
      <c r="AO970" s="77"/>
    </row>
    <row r="971" ht="13.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c r="AA971" s="77"/>
      <c r="AB971" s="77"/>
      <c r="AC971" s="77"/>
      <c r="AD971" s="77"/>
      <c r="AE971" s="77"/>
      <c r="AF971" s="77"/>
      <c r="AG971" s="77"/>
      <c r="AH971" s="77"/>
      <c r="AI971" s="77"/>
      <c r="AJ971" s="77"/>
      <c r="AK971" s="77"/>
      <c r="AL971" s="77"/>
      <c r="AM971" s="77"/>
      <c r="AN971" s="77"/>
      <c r="AO971" s="77"/>
    </row>
    <row r="972" ht="13.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c r="AA972" s="77"/>
      <c r="AB972" s="77"/>
      <c r="AC972" s="77"/>
      <c r="AD972" s="77"/>
      <c r="AE972" s="77"/>
      <c r="AF972" s="77"/>
      <c r="AG972" s="77"/>
      <c r="AH972" s="77"/>
      <c r="AI972" s="77"/>
      <c r="AJ972" s="77"/>
      <c r="AK972" s="77"/>
      <c r="AL972" s="77"/>
      <c r="AM972" s="77"/>
      <c r="AN972" s="77"/>
      <c r="AO972" s="77"/>
    </row>
    <row r="973" ht="13.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c r="AA973" s="77"/>
      <c r="AB973" s="77"/>
      <c r="AC973" s="77"/>
      <c r="AD973" s="77"/>
      <c r="AE973" s="77"/>
      <c r="AF973" s="77"/>
      <c r="AG973" s="77"/>
      <c r="AH973" s="77"/>
      <c r="AI973" s="77"/>
      <c r="AJ973" s="77"/>
      <c r="AK973" s="77"/>
      <c r="AL973" s="77"/>
      <c r="AM973" s="77"/>
      <c r="AN973" s="77"/>
      <c r="AO973" s="77"/>
    </row>
    <row r="974" ht="13.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c r="AA974" s="77"/>
      <c r="AB974" s="77"/>
      <c r="AC974" s="77"/>
      <c r="AD974" s="77"/>
      <c r="AE974" s="77"/>
      <c r="AF974" s="77"/>
      <c r="AG974" s="77"/>
      <c r="AH974" s="77"/>
      <c r="AI974" s="77"/>
      <c r="AJ974" s="77"/>
      <c r="AK974" s="77"/>
      <c r="AL974" s="77"/>
      <c r="AM974" s="77"/>
      <c r="AN974" s="77"/>
      <c r="AO974" s="77"/>
    </row>
    <row r="975" ht="13.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c r="AA975" s="77"/>
      <c r="AB975" s="77"/>
      <c r="AC975" s="77"/>
      <c r="AD975" s="77"/>
      <c r="AE975" s="77"/>
      <c r="AF975" s="77"/>
      <c r="AG975" s="77"/>
      <c r="AH975" s="77"/>
      <c r="AI975" s="77"/>
      <c r="AJ975" s="77"/>
      <c r="AK975" s="77"/>
      <c r="AL975" s="77"/>
      <c r="AM975" s="77"/>
      <c r="AN975" s="77"/>
      <c r="AO975" s="77"/>
    </row>
    <row r="976" ht="13.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c r="AA976" s="77"/>
      <c r="AB976" s="77"/>
      <c r="AC976" s="77"/>
      <c r="AD976" s="77"/>
      <c r="AE976" s="77"/>
      <c r="AF976" s="77"/>
      <c r="AG976" s="77"/>
      <c r="AH976" s="77"/>
      <c r="AI976" s="77"/>
      <c r="AJ976" s="77"/>
      <c r="AK976" s="77"/>
      <c r="AL976" s="77"/>
      <c r="AM976" s="77"/>
      <c r="AN976" s="77"/>
      <c r="AO976" s="77"/>
    </row>
    <row r="977" ht="13.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c r="AA977" s="77"/>
      <c r="AB977" s="77"/>
      <c r="AC977" s="77"/>
      <c r="AD977" s="77"/>
      <c r="AE977" s="77"/>
      <c r="AF977" s="77"/>
      <c r="AG977" s="77"/>
      <c r="AH977" s="77"/>
      <c r="AI977" s="77"/>
      <c r="AJ977" s="77"/>
      <c r="AK977" s="77"/>
      <c r="AL977" s="77"/>
      <c r="AM977" s="77"/>
      <c r="AN977" s="77"/>
      <c r="AO977" s="77"/>
    </row>
    <row r="978" ht="13.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c r="AA978" s="77"/>
      <c r="AB978" s="77"/>
      <c r="AC978" s="77"/>
      <c r="AD978" s="77"/>
      <c r="AE978" s="77"/>
      <c r="AF978" s="77"/>
      <c r="AG978" s="77"/>
      <c r="AH978" s="77"/>
      <c r="AI978" s="77"/>
      <c r="AJ978" s="77"/>
      <c r="AK978" s="77"/>
      <c r="AL978" s="77"/>
      <c r="AM978" s="77"/>
      <c r="AN978" s="77"/>
      <c r="AO978" s="77"/>
    </row>
    <row r="979" ht="13.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c r="AA979" s="77"/>
      <c r="AB979" s="77"/>
      <c r="AC979" s="77"/>
      <c r="AD979" s="77"/>
      <c r="AE979" s="77"/>
      <c r="AF979" s="77"/>
      <c r="AG979" s="77"/>
      <c r="AH979" s="77"/>
      <c r="AI979" s="77"/>
      <c r="AJ979" s="77"/>
      <c r="AK979" s="77"/>
      <c r="AL979" s="77"/>
      <c r="AM979" s="77"/>
      <c r="AN979" s="77"/>
      <c r="AO979" s="77"/>
    </row>
    <row r="980" ht="13.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c r="AA980" s="77"/>
      <c r="AB980" s="77"/>
      <c r="AC980" s="77"/>
      <c r="AD980" s="77"/>
      <c r="AE980" s="77"/>
      <c r="AF980" s="77"/>
      <c r="AG980" s="77"/>
      <c r="AH980" s="77"/>
      <c r="AI980" s="77"/>
      <c r="AJ980" s="77"/>
      <c r="AK980" s="77"/>
      <c r="AL980" s="77"/>
      <c r="AM980" s="77"/>
      <c r="AN980" s="77"/>
      <c r="AO980" s="77"/>
    </row>
    <row r="981" ht="13.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c r="AA981" s="77"/>
      <c r="AB981" s="77"/>
      <c r="AC981" s="77"/>
      <c r="AD981" s="77"/>
      <c r="AE981" s="77"/>
      <c r="AF981" s="77"/>
      <c r="AG981" s="77"/>
      <c r="AH981" s="77"/>
      <c r="AI981" s="77"/>
      <c r="AJ981" s="77"/>
      <c r="AK981" s="77"/>
      <c r="AL981" s="77"/>
      <c r="AM981" s="77"/>
      <c r="AN981" s="77"/>
      <c r="AO981" s="77"/>
    </row>
    <row r="982" ht="13.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c r="AA982" s="77"/>
      <c r="AB982" s="77"/>
      <c r="AC982" s="77"/>
      <c r="AD982" s="77"/>
      <c r="AE982" s="77"/>
      <c r="AF982" s="77"/>
      <c r="AG982" s="77"/>
      <c r="AH982" s="77"/>
      <c r="AI982" s="77"/>
      <c r="AJ982" s="77"/>
      <c r="AK982" s="77"/>
      <c r="AL982" s="77"/>
      <c r="AM982" s="77"/>
      <c r="AN982" s="77"/>
      <c r="AO982" s="77"/>
    </row>
    <row r="983" ht="13.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c r="AA983" s="77"/>
      <c r="AB983" s="77"/>
      <c r="AC983" s="77"/>
      <c r="AD983" s="77"/>
      <c r="AE983" s="77"/>
      <c r="AF983" s="77"/>
      <c r="AG983" s="77"/>
      <c r="AH983" s="77"/>
      <c r="AI983" s="77"/>
      <c r="AJ983" s="77"/>
      <c r="AK983" s="77"/>
      <c r="AL983" s="77"/>
      <c r="AM983" s="77"/>
      <c r="AN983" s="77"/>
      <c r="AO983" s="77"/>
    </row>
    <row r="984" ht="13.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c r="AA984" s="77"/>
      <c r="AB984" s="77"/>
      <c r="AC984" s="77"/>
      <c r="AD984" s="77"/>
      <c r="AE984" s="77"/>
      <c r="AF984" s="77"/>
      <c r="AG984" s="77"/>
      <c r="AH984" s="77"/>
      <c r="AI984" s="77"/>
      <c r="AJ984" s="77"/>
      <c r="AK984" s="77"/>
      <c r="AL984" s="77"/>
      <c r="AM984" s="77"/>
      <c r="AN984" s="77"/>
      <c r="AO984" s="77"/>
    </row>
    <row r="985" ht="13.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c r="AA985" s="77"/>
      <c r="AB985" s="77"/>
      <c r="AC985" s="77"/>
      <c r="AD985" s="77"/>
      <c r="AE985" s="77"/>
      <c r="AF985" s="77"/>
      <c r="AG985" s="77"/>
      <c r="AH985" s="77"/>
      <c r="AI985" s="77"/>
      <c r="AJ985" s="77"/>
      <c r="AK985" s="77"/>
      <c r="AL985" s="77"/>
      <c r="AM985" s="77"/>
      <c r="AN985" s="77"/>
      <c r="AO985" s="77"/>
    </row>
    <row r="986" ht="13.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c r="AA986" s="77"/>
      <c r="AB986" s="77"/>
      <c r="AC986" s="77"/>
      <c r="AD986" s="77"/>
      <c r="AE986" s="77"/>
      <c r="AF986" s="77"/>
      <c r="AG986" s="77"/>
      <c r="AH986" s="77"/>
      <c r="AI986" s="77"/>
      <c r="AJ986" s="77"/>
      <c r="AK986" s="77"/>
      <c r="AL986" s="77"/>
      <c r="AM986" s="77"/>
      <c r="AN986" s="77"/>
      <c r="AO986" s="77"/>
    </row>
    <row r="987" ht="13.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c r="AA987" s="77"/>
      <c r="AB987" s="77"/>
      <c r="AC987" s="77"/>
      <c r="AD987" s="77"/>
      <c r="AE987" s="77"/>
      <c r="AF987" s="77"/>
      <c r="AG987" s="77"/>
      <c r="AH987" s="77"/>
      <c r="AI987" s="77"/>
      <c r="AJ987" s="77"/>
      <c r="AK987" s="77"/>
      <c r="AL987" s="77"/>
      <c r="AM987" s="77"/>
      <c r="AN987" s="77"/>
      <c r="AO987" s="77"/>
    </row>
    <row r="988" ht="13.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c r="AA988" s="77"/>
      <c r="AB988" s="77"/>
      <c r="AC988" s="77"/>
      <c r="AD988" s="77"/>
      <c r="AE988" s="77"/>
      <c r="AF988" s="77"/>
      <c r="AG988" s="77"/>
      <c r="AH988" s="77"/>
      <c r="AI988" s="77"/>
      <c r="AJ988" s="77"/>
      <c r="AK988" s="77"/>
      <c r="AL988" s="77"/>
      <c r="AM988" s="77"/>
      <c r="AN988" s="77"/>
      <c r="AO988" s="77"/>
    </row>
    <row r="989" ht="13.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c r="AA989" s="77"/>
      <c r="AB989" s="77"/>
      <c r="AC989" s="77"/>
      <c r="AD989" s="77"/>
      <c r="AE989" s="77"/>
      <c r="AF989" s="77"/>
      <c r="AG989" s="77"/>
      <c r="AH989" s="77"/>
      <c r="AI989" s="77"/>
      <c r="AJ989" s="77"/>
      <c r="AK989" s="77"/>
      <c r="AL989" s="77"/>
      <c r="AM989" s="77"/>
      <c r="AN989" s="77"/>
      <c r="AO989" s="77"/>
    </row>
    <row r="990" ht="13.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c r="AA990" s="77"/>
      <c r="AB990" s="77"/>
      <c r="AC990" s="77"/>
      <c r="AD990" s="77"/>
      <c r="AE990" s="77"/>
      <c r="AF990" s="77"/>
      <c r="AG990" s="77"/>
      <c r="AH990" s="77"/>
      <c r="AI990" s="77"/>
      <c r="AJ990" s="77"/>
      <c r="AK990" s="77"/>
      <c r="AL990" s="77"/>
      <c r="AM990" s="77"/>
      <c r="AN990" s="77"/>
      <c r="AO990" s="77"/>
    </row>
    <row r="991" ht="13.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c r="AA991" s="77"/>
      <c r="AB991" s="77"/>
      <c r="AC991" s="77"/>
      <c r="AD991" s="77"/>
      <c r="AE991" s="77"/>
      <c r="AF991" s="77"/>
      <c r="AG991" s="77"/>
      <c r="AH991" s="77"/>
      <c r="AI991" s="77"/>
      <c r="AJ991" s="77"/>
      <c r="AK991" s="77"/>
      <c r="AL991" s="77"/>
      <c r="AM991" s="77"/>
      <c r="AN991" s="77"/>
      <c r="AO991" s="77"/>
    </row>
    <row r="992" ht="13.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c r="AA992" s="77"/>
      <c r="AB992" s="77"/>
      <c r="AC992" s="77"/>
      <c r="AD992" s="77"/>
      <c r="AE992" s="77"/>
      <c r="AF992" s="77"/>
      <c r="AG992" s="77"/>
      <c r="AH992" s="77"/>
      <c r="AI992" s="77"/>
      <c r="AJ992" s="77"/>
      <c r="AK992" s="77"/>
      <c r="AL992" s="77"/>
      <c r="AM992" s="77"/>
      <c r="AN992" s="77"/>
      <c r="AO992" s="77"/>
    </row>
    <row r="993" ht="13.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c r="AA993" s="77"/>
      <c r="AB993" s="77"/>
      <c r="AC993" s="77"/>
      <c r="AD993" s="77"/>
      <c r="AE993" s="77"/>
      <c r="AF993" s="77"/>
      <c r="AG993" s="77"/>
      <c r="AH993" s="77"/>
      <c r="AI993" s="77"/>
      <c r="AJ993" s="77"/>
      <c r="AK993" s="77"/>
      <c r="AL993" s="77"/>
      <c r="AM993" s="77"/>
      <c r="AN993" s="77"/>
      <c r="AO993" s="77"/>
    </row>
    <row r="994" ht="13.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c r="AA994" s="77"/>
      <c r="AB994" s="77"/>
      <c r="AC994" s="77"/>
      <c r="AD994" s="77"/>
      <c r="AE994" s="77"/>
      <c r="AF994" s="77"/>
      <c r="AG994" s="77"/>
      <c r="AH994" s="77"/>
      <c r="AI994" s="77"/>
      <c r="AJ994" s="77"/>
      <c r="AK994" s="77"/>
      <c r="AL994" s="77"/>
      <c r="AM994" s="77"/>
      <c r="AN994" s="77"/>
      <c r="AO994" s="77"/>
    </row>
    <row r="995" ht="13.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c r="AA995" s="77"/>
      <c r="AB995" s="77"/>
      <c r="AC995" s="77"/>
      <c r="AD995" s="77"/>
      <c r="AE995" s="77"/>
      <c r="AF995" s="77"/>
      <c r="AG995" s="77"/>
      <c r="AH995" s="77"/>
      <c r="AI995" s="77"/>
      <c r="AJ995" s="77"/>
      <c r="AK995" s="77"/>
      <c r="AL995" s="77"/>
      <c r="AM995" s="77"/>
      <c r="AN995" s="77"/>
      <c r="AO995" s="77"/>
    </row>
    <row r="996" ht="13.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c r="AA996" s="77"/>
      <c r="AB996" s="77"/>
      <c r="AC996" s="77"/>
      <c r="AD996" s="77"/>
      <c r="AE996" s="77"/>
      <c r="AF996" s="77"/>
      <c r="AG996" s="77"/>
      <c r="AH996" s="77"/>
      <c r="AI996" s="77"/>
      <c r="AJ996" s="77"/>
      <c r="AK996" s="77"/>
      <c r="AL996" s="77"/>
      <c r="AM996" s="77"/>
      <c r="AN996" s="77"/>
      <c r="AO996" s="77"/>
    </row>
    <row r="997" ht="13.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c r="AA997" s="77"/>
      <c r="AB997" s="77"/>
      <c r="AC997" s="77"/>
      <c r="AD997" s="77"/>
      <c r="AE997" s="77"/>
      <c r="AF997" s="77"/>
      <c r="AG997" s="77"/>
      <c r="AH997" s="77"/>
      <c r="AI997" s="77"/>
      <c r="AJ997" s="77"/>
      <c r="AK997" s="77"/>
      <c r="AL997" s="77"/>
      <c r="AM997" s="77"/>
      <c r="AN997" s="77"/>
      <c r="AO997" s="77"/>
    </row>
    <row r="998" ht="13.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c r="AA998" s="77"/>
      <c r="AB998" s="77"/>
      <c r="AC998" s="77"/>
      <c r="AD998" s="77"/>
      <c r="AE998" s="77"/>
      <c r="AF998" s="77"/>
      <c r="AG998" s="77"/>
      <c r="AH998" s="77"/>
      <c r="AI998" s="77"/>
      <c r="AJ998" s="77"/>
      <c r="AK998" s="77"/>
      <c r="AL998" s="77"/>
      <c r="AM998" s="77"/>
      <c r="AN998" s="77"/>
      <c r="AO998" s="77"/>
    </row>
    <row r="999" ht="13.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c r="AA999" s="77"/>
      <c r="AB999" s="77"/>
      <c r="AC999" s="77"/>
      <c r="AD999" s="77"/>
      <c r="AE999" s="77"/>
      <c r="AF999" s="77"/>
      <c r="AG999" s="77"/>
      <c r="AH999" s="77"/>
      <c r="AI999" s="77"/>
      <c r="AJ999" s="77"/>
      <c r="AK999" s="77"/>
      <c r="AL999" s="77"/>
      <c r="AM999" s="77"/>
      <c r="AN999" s="77"/>
      <c r="AO999" s="77"/>
    </row>
    <row r="1000" ht="13.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c r="AA1000" s="77"/>
      <c r="AB1000" s="77"/>
      <c r="AC1000" s="77"/>
      <c r="AD1000" s="77"/>
      <c r="AE1000" s="77"/>
      <c r="AF1000" s="77"/>
      <c r="AG1000" s="77"/>
      <c r="AH1000" s="77"/>
      <c r="AI1000" s="77"/>
      <c r="AJ1000" s="77"/>
      <c r="AK1000" s="77"/>
      <c r="AL1000" s="77"/>
      <c r="AM1000" s="77"/>
      <c r="AN1000" s="77"/>
      <c r="AO1000" s="77"/>
    </row>
  </sheetData>
  <mergeCells count="2">
    <mergeCell ref="E2:J4"/>
    <mergeCell ref="W4:AA5"/>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13.86"/>
    <col customWidth="1" min="4" max="4" width="26.86"/>
    <col customWidth="1" min="5" max="5" width="15.86"/>
    <col customWidth="1" min="6" max="6" width="20.71"/>
    <col customWidth="1" min="7" max="7" width="32.71"/>
    <col customWidth="1" min="8" max="8" width="29.43"/>
    <col customWidth="1" min="9" max="9" width="22.14"/>
    <col customWidth="1" min="10" max="10" width="14.57"/>
    <col customWidth="1" min="11" max="13" width="8.86"/>
    <col customWidth="1" min="14" max="14" width="28.86"/>
    <col customWidth="1" min="15" max="16" width="20.57"/>
    <col customWidth="1" min="17" max="17" width="15.86"/>
    <col customWidth="1" min="18" max="23" width="8.86"/>
    <col customWidth="1" min="24" max="24" width="14.86"/>
    <col customWidth="1" min="25" max="25" width="16.14"/>
    <col customWidth="1" min="26" max="26" width="13.86"/>
    <col customWidth="1" min="27" max="27" width="15.0"/>
    <col customWidth="1" min="28" max="28" width="16.43"/>
  </cols>
  <sheetData>
    <row r="1" ht="13.5" customHeight="1">
      <c r="A1" s="124"/>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row>
    <row r="2" ht="13.5" customHeight="1">
      <c r="A2" s="124"/>
      <c r="B2" s="124"/>
      <c r="C2" s="124"/>
      <c r="D2" s="124"/>
      <c r="E2" s="150" t="s">
        <v>747</v>
      </c>
      <c r="F2" s="79"/>
      <c r="G2" s="79"/>
      <c r="H2" s="79"/>
      <c r="I2" s="79"/>
      <c r="J2" s="80"/>
      <c r="K2" s="124"/>
      <c r="L2" s="124"/>
      <c r="M2" s="124"/>
      <c r="N2" s="124"/>
      <c r="O2" s="124"/>
      <c r="P2" s="124"/>
      <c r="Q2" s="124"/>
      <c r="R2" s="124"/>
      <c r="S2" s="124"/>
      <c r="T2" s="124"/>
      <c r="U2" s="124"/>
      <c r="V2" s="124"/>
      <c r="W2" s="124"/>
      <c r="X2" s="124"/>
      <c r="Y2" s="124"/>
      <c r="Z2" s="124"/>
      <c r="AA2" s="124"/>
      <c r="AB2" s="124"/>
    </row>
    <row r="3" ht="13.5" customHeight="1">
      <c r="A3" s="124"/>
      <c r="B3" s="124"/>
      <c r="C3" s="124"/>
      <c r="D3" s="124"/>
      <c r="E3" s="81"/>
      <c r="J3" s="82"/>
      <c r="K3" s="124"/>
      <c r="L3" s="124"/>
      <c r="M3" s="124"/>
      <c r="N3" s="124"/>
      <c r="O3" s="124"/>
      <c r="P3" s="124"/>
      <c r="Q3" s="124"/>
      <c r="R3" s="124"/>
      <c r="S3" s="124"/>
      <c r="T3" s="124"/>
      <c r="U3" s="124"/>
      <c r="V3" s="124"/>
      <c r="W3" s="124"/>
      <c r="X3" s="124"/>
      <c r="Y3" s="124"/>
      <c r="Z3" s="124"/>
      <c r="AA3" s="124"/>
      <c r="AB3" s="124"/>
    </row>
    <row r="4" ht="13.5" customHeight="1">
      <c r="A4" s="124"/>
      <c r="B4" s="124"/>
      <c r="C4" s="124"/>
      <c r="D4" s="124"/>
      <c r="E4" s="83"/>
      <c r="F4" s="84"/>
      <c r="G4" s="84"/>
      <c r="H4" s="84"/>
      <c r="I4" s="84"/>
      <c r="J4" s="85"/>
      <c r="K4" s="124"/>
      <c r="L4" s="124"/>
      <c r="M4" s="124"/>
      <c r="N4" s="124"/>
      <c r="O4" s="124"/>
      <c r="P4" s="124"/>
      <c r="Q4" s="124"/>
      <c r="R4" s="124"/>
      <c r="S4" s="124"/>
      <c r="T4" s="124"/>
      <c r="U4" s="124"/>
      <c r="V4" s="124"/>
      <c r="W4" s="86" t="s">
        <v>615</v>
      </c>
      <c r="X4" s="79"/>
      <c r="Y4" s="79"/>
      <c r="Z4" s="79"/>
      <c r="AA4" s="80"/>
      <c r="AB4" s="124"/>
    </row>
    <row r="5" ht="13.5" customHeight="1">
      <c r="A5" s="124"/>
      <c r="B5" s="124"/>
      <c r="C5" s="124"/>
      <c r="D5" s="124"/>
      <c r="E5" s="124"/>
      <c r="F5" s="124"/>
      <c r="G5" s="124"/>
      <c r="H5" s="124"/>
      <c r="I5" s="124"/>
      <c r="J5" s="124"/>
      <c r="K5" s="124"/>
      <c r="L5" s="124"/>
      <c r="M5" s="124"/>
      <c r="N5" s="124"/>
      <c r="O5" s="124"/>
      <c r="P5" s="124"/>
      <c r="Q5" s="124"/>
      <c r="R5" s="124"/>
      <c r="S5" s="124"/>
      <c r="T5" s="124"/>
      <c r="U5" s="124"/>
      <c r="V5" s="124"/>
      <c r="W5" s="83"/>
      <c r="X5" s="84"/>
      <c r="Y5" s="84"/>
      <c r="Z5" s="84"/>
      <c r="AA5" s="85"/>
      <c r="AB5" s="124"/>
    </row>
    <row r="6" ht="13.5" customHeight="1">
      <c r="A6" s="124"/>
      <c r="B6" s="124"/>
      <c r="C6" s="120" t="s">
        <v>293</v>
      </c>
      <c r="D6" s="121" t="s">
        <v>295</v>
      </c>
      <c r="E6" s="121" t="s">
        <v>296</v>
      </c>
      <c r="F6" s="121" t="s">
        <v>297</v>
      </c>
      <c r="G6" s="121" t="s">
        <v>709</v>
      </c>
      <c r="H6" s="121" t="s">
        <v>298</v>
      </c>
      <c r="I6" s="121" t="s">
        <v>299</v>
      </c>
      <c r="J6" s="121" t="s">
        <v>619</v>
      </c>
      <c r="K6" s="122" t="s">
        <v>301</v>
      </c>
      <c r="L6" s="122" t="s">
        <v>681</v>
      </c>
      <c r="M6" s="122" t="s">
        <v>682</v>
      </c>
      <c r="N6" s="122" t="s">
        <v>621</v>
      </c>
      <c r="O6" s="122" t="s">
        <v>405</v>
      </c>
      <c r="P6" s="123" t="s">
        <v>622</v>
      </c>
      <c r="Q6" s="88" t="s">
        <v>624</v>
      </c>
      <c r="R6" s="92"/>
      <c r="S6" s="92"/>
      <c r="T6" s="92"/>
      <c r="U6" s="124"/>
      <c r="V6" s="124"/>
      <c r="W6" s="124">
        <v>15000.0</v>
      </c>
      <c r="X6" s="124" t="s">
        <v>524</v>
      </c>
      <c r="Y6" s="151">
        <v>45783.0</v>
      </c>
      <c r="Z6" s="124" t="s">
        <v>355</v>
      </c>
      <c r="AA6" s="124"/>
      <c r="AB6" s="124"/>
    </row>
    <row r="7" ht="13.5" customHeight="1">
      <c r="A7" s="124"/>
      <c r="B7" s="124"/>
      <c r="C7" s="124">
        <v>1.0</v>
      </c>
      <c r="D7" s="91" t="s">
        <v>748</v>
      </c>
      <c r="E7" s="110" t="s">
        <v>304</v>
      </c>
      <c r="F7" s="110" t="s">
        <v>689</v>
      </c>
      <c r="G7" s="152" t="s">
        <v>749</v>
      </c>
      <c r="H7" s="110" t="s">
        <v>229</v>
      </c>
      <c r="I7" s="153" t="s">
        <v>714</v>
      </c>
      <c r="J7" s="110">
        <v>60000.0</v>
      </c>
      <c r="K7" s="110">
        <v>17000.0</v>
      </c>
      <c r="L7" s="110">
        <v>17000.0</v>
      </c>
      <c r="M7" s="110"/>
      <c r="N7" s="91" t="s">
        <v>750</v>
      </c>
      <c r="O7" s="110">
        <v>13000.0</v>
      </c>
      <c r="P7" s="110"/>
      <c r="Q7" s="91"/>
      <c r="R7" s="92"/>
      <c r="S7" s="92"/>
      <c r="T7" s="92"/>
      <c r="U7" s="124"/>
      <c r="V7" s="124"/>
      <c r="W7" s="124">
        <v>2400.0</v>
      </c>
      <c r="X7" s="124" t="s">
        <v>475</v>
      </c>
      <c r="Y7" s="124" t="s">
        <v>751</v>
      </c>
      <c r="Z7" s="124" t="s">
        <v>355</v>
      </c>
      <c r="AA7" s="124"/>
      <c r="AB7" s="124"/>
    </row>
    <row r="8" ht="13.5" customHeight="1">
      <c r="A8" s="124"/>
      <c r="B8" s="124"/>
      <c r="C8" s="124">
        <v>2.0</v>
      </c>
      <c r="D8" s="91" t="s">
        <v>652</v>
      </c>
      <c r="E8" s="110" t="s">
        <v>304</v>
      </c>
      <c r="F8" s="110" t="s">
        <v>752</v>
      </c>
      <c r="G8" s="154">
        <v>45997.0</v>
      </c>
      <c r="H8" s="110" t="s">
        <v>713</v>
      </c>
      <c r="I8" s="153" t="s">
        <v>714</v>
      </c>
      <c r="J8" s="92">
        <v>105000.0</v>
      </c>
      <c r="K8" s="145" t="s">
        <v>753</v>
      </c>
      <c r="L8" s="97"/>
      <c r="M8" s="97"/>
      <c r="N8" s="91" t="s">
        <v>754</v>
      </c>
      <c r="O8" s="110"/>
      <c r="P8" s="110"/>
      <c r="Q8" s="91"/>
      <c r="R8" s="92"/>
      <c r="S8" s="92"/>
      <c r="T8" s="92"/>
      <c r="U8" s="124"/>
      <c r="V8" s="124"/>
      <c r="W8" s="124">
        <v>6934.0</v>
      </c>
      <c r="X8" s="124" t="s">
        <v>661</v>
      </c>
      <c r="Y8" s="124"/>
      <c r="Z8" s="124" t="s">
        <v>304</v>
      </c>
      <c r="AA8" s="124"/>
      <c r="AB8" s="124"/>
    </row>
    <row r="9" ht="13.5" customHeight="1">
      <c r="A9" s="124"/>
      <c r="B9" s="124"/>
      <c r="C9" s="124">
        <v>3.0</v>
      </c>
      <c r="D9" s="91" t="s">
        <v>755</v>
      </c>
      <c r="E9" s="110" t="s">
        <v>355</v>
      </c>
      <c r="F9" s="110" t="s">
        <v>689</v>
      </c>
      <c r="G9" s="154">
        <v>45753.0</v>
      </c>
      <c r="H9" s="110" t="s">
        <v>713</v>
      </c>
      <c r="I9" s="153" t="s">
        <v>714</v>
      </c>
      <c r="J9" s="110">
        <v>45000.0</v>
      </c>
      <c r="K9" s="110">
        <v>9000.0</v>
      </c>
      <c r="L9" s="110">
        <v>36000.0</v>
      </c>
      <c r="M9" s="110"/>
      <c r="N9" s="91" t="s">
        <v>674</v>
      </c>
      <c r="O9" s="110"/>
      <c r="P9" s="110"/>
      <c r="Q9" s="91"/>
      <c r="R9" s="92"/>
      <c r="S9" s="92"/>
      <c r="T9" s="92"/>
      <c r="U9" s="124"/>
      <c r="V9" s="124"/>
      <c r="W9" s="124">
        <v>1150.0</v>
      </c>
      <c r="X9" s="124" t="s">
        <v>756</v>
      </c>
      <c r="Y9" s="124" t="s">
        <v>757</v>
      </c>
      <c r="Z9" s="124" t="s">
        <v>304</v>
      </c>
      <c r="AA9" s="124"/>
      <c r="AB9" s="124"/>
    </row>
    <row r="10" ht="13.5" customHeight="1">
      <c r="A10" s="124"/>
      <c r="B10" s="124"/>
      <c r="C10" s="124">
        <v>4.0</v>
      </c>
      <c r="D10" s="91" t="s">
        <v>758</v>
      </c>
      <c r="E10" s="110" t="s">
        <v>304</v>
      </c>
      <c r="F10" s="110" t="s">
        <v>689</v>
      </c>
      <c r="G10" s="154">
        <v>45783.0</v>
      </c>
      <c r="H10" s="110" t="s">
        <v>713</v>
      </c>
      <c r="I10" s="153" t="s">
        <v>714</v>
      </c>
      <c r="J10" s="110">
        <v>25000.0</v>
      </c>
      <c r="K10" s="110">
        <v>4500.0</v>
      </c>
      <c r="L10" s="110">
        <v>20500.0</v>
      </c>
      <c r="M10" s="110"/>
      <c r="N10" s="91" t="s">
        <v>754</v>
      </c>
      <c r="O10" s="110"/>
      <c r="P10" s="110"/>
      <c r="Q10" s="91"/>
      <c r="R10" s="110"/>
      <c r="S10" s="110"/>
      <c r="T10" s="110"/>
      <c r="U10" s="124"/>
      <c r="V10" s="124"/>
      <c r="W10" s="124">
        <v>680.0</v>
      </c>
      <c r="X10" s="124" t="s">
        <v>756</v>
      </c>
      <c r="Y10" s="124" t="s">
        <v>759</v>
      </c>
      <c r="Z10" s="124" t="s">
        <v>304</v>
      </c>
      <c r="AA10" s="124"/>
      <c r="AB10" s="124"/>
    </row>
    <row r="11" ht="13.5" customHeight="1">
      <c r="A11" s="124"/>
      <c r="B11" s="124"/>
      <c r="C11" s="124">
        <v>5.0</v>
      </c>
      <c r="D11" s="91" t="s">
        <v>760</v>
      </c>
      <c r="E11" s="110" t="s">
        <v>355</v>
      </c>
      <c r="F11" s="110" t="s">
        <v>335</v>
      </c>
      <c r="G11" s="152"/>
      <c r="H11" s="110" t="s">
        <v>761</v>
      </c>
      <c r="I11" s="153" t="s">
        <v>714</v>
      </c>
      <c r="J11" s="110"/>
      <c r="K11" s="110"/>
      <c r="L11" s="110"/>
      <c r="M11" s="110"/>
      <c r="N11" s="91"/>
      <c r="O11" s="110"/>
      <c r="P11" s="110"/>
      <c r="Q11" s="91"/>
      <c r="R11" s="110"/>
      <c r="S11" s="110"/>
      <c r="T11" s="110"/>
      <c r="U11" s="124"/>
      <c r="V11" s="124"/>
      <c r="W11" s="124">
        <v>4818.0</v>
      </c>
      <c r="X11" s="124" t="s">
        <v>475</v>
      </c>
      <c r="Y11" s="124" t="s">
        <v>762</v>
      </c>
      <c r="Z11" s="124" t="s">
        <v>304</v>
      </c>
      <c r="AA11" s="124"/>
      <c r="AB11" s="124"/>
    </row>
    <row r="12" ht="14.25" customHeight="1">
      <c r="A12" s="124"/>
      <c r="B12" s="124"/>
      <c r="C12" s="124">
        <v>6.0</v>
      </c>
      <c r="D12" s="91" t="s">
        <v>763</v>
      </c>
      <c r="E12" s="110" t="s">
        <v>355</v>
      </c>
      <c r="F12" s="110" t="s">
        <v>335</v>
      </c>
      <c r="G12" s="152"/>
      <c r="H12" s="155" t="s">
        <v>761</v>
      </c>
      <c r="I12" s="156" t="s">
        <v>714</v>
      </c>
      <c r="J12" s="97"/>
      <c r="K12" s="97"/>
      <c r="L12" s="97"/>
      <c r="M12" s="97"/>
      <c r="N12" s="91"/>
      <c r="O12" s="110"/>
      <c r="P12" s="110"/>
      <c r="Q12" s="91"/>
      <c r="R12" s="110"/>
      <c r="S12" s="110"/>
      <c r="T12" s="110"/>
      <c r="U12" s="124"/>
      <c r="V12" s="124"/>
      <c r="W12" s="124">
        <v>11370.0</v>
      </c>
      <c r="X12" s="124" t="s">
        <v>764</v>
      </c>
      <c r="Y12" s="124" t="s">
        <v>765</v>
      </c>
      <c r="Z12" s="124" t="s">
        <v>766</v>
      </c>
      <c r="AA12" s="124" t="s">
        <v>767</v>
      </c>
      <c r="AB12" s="124" t="s">
        <v>768</v>
      </c>
    </row>
    <row r="13" ht="13.5" customHeight="1">
      <c r="A13" s="124"/>
      <c r="B13" s="124"/>
      <c r="C13" s="124">
        <v>7.0</v>
      </c>
      <c r="D13" s="91" t="s">
        <v>769</v>
      </c>
      <c r="E13" s="110" t="s">
        <v>355</v>
      </c>
      <c r="F13" s="110" t="s">
        <v>335</v>
      </c>
      <c r="G13" s="152"/>
      <c r="H13" s="110" t="s">
        <v>761</v>
      </c>
      <c r="I13" s="157" t="s">
        <v>714</v>
      </c>
      <c r="J13" s="97"/>
      <c r="K13" s="97"/>
      <c r="L13" s="97"/>
      <c r="M13" s="97"/>
      <c r="N13" s="91"/>
      <c r="O13" s="110"/>
      <c r="P13" s="110"/>
      <c r="Q13" s="91"/>
      <c r="R13" s="110"/>
      <c r="S13" s="110"/>
      <c r="T13" s="110"/>
      <c r="U13" s="124"/>
      <c r="V13" s="124"/>
      <c r="W13" s="124">
        <v>25000.0</v>
      </c>
      <c r="X13" s="124" t="s">
        <v>770</v>
      </c>
      <c r="Y13" s="124" t="s">
        <v>771</v>
      </c>
      <c r="Z13" s="124" t="s">
        <v>304</v>
      </c>
      <c r="AA13" s="124"/>
      <c r="AB13" s="124"/>
    </row>
    <row r="14" ht="13.5" customHeight="1">
      <c r="A14" s="124"/>
      <c r="B14" s="124"/>
      <c r="C14" s="124">
        <v>8.0</v>
      </c>
      <c r="D14" s="91" t="s">
        <v>772</v>
      </c>
      <c r="E14" s="110" t="s">
        <v>304</v>
      </c>
      <c r="F14" s="110" t="s">
        <v>689</v>
      </c>
      <c r="G14" s="154">
        <v>45967.0</v>
      </c>
      <c r="H14" s="110" t="s">
        <v>713</v>
      </c>
      <c r="I14" s="153" t="s">
        <v>305</v>
      </c>
      <c r="J14" s="110">
        <v>40000.0</v>
      </c>
      <c r="K14" s="110"/>
      <c r="L14" s="110"/>
      <c r="M14" s="110"/>
      <c r="N14" s="91" t="s">
        <v>711</v>
      </c>
      <c r="O14" s="110"/>
      <c r="P14" s="110"/>
      <c r="Q14" s="91"/>
      <c r="R14" s="110"/>
      <c r="S14" s="110"/>
      <c r="T14" s="110"/>
      <c r="U14" s="124"/>
      <c r="V14" s="124"/>
      <c r="W14" s="124">
        <v>43000.0</v>
      </c>
      <c r="X14" s="124" t="s">
        <v>773</v>
      </c>
      <c r="Y14" s="124"/>
      <c r="Z14" s="124"/>
      <c r="AA14" s="124"/>
      <c r="AB14" s="124"/>
    </row>
    <row r="15" ht="13.5" customHeight="1">
      <c r="A15" s="124"/>
      <c r="B15" s="124"/>
      <c r="C15" s="124">
        <v>9.0</v>
      </c>
      <c r="D15" s="91" t="s">
        <v>774</v>
      </c>
      <c r="E15" s="110" t="s">
        <v>304</v>
      </c>
      <c r="F15" s="110" t="s">
        <v>689</v>
      </c>
      <c r="G15" s="158" t="s">
        <v>775</v>
      </c>
      <c r="H15" s="110" t="s">
        <v>713</v>
      </c>
      <c r="I15" s="153" t="s">
        <v>305</v>
      </c>
      <c r="J15" s="92">
        <v>40000.0</v>
      </c>
      <c r="K15" s="110"/>
      <c r="L15" s="110"/>
      <c r="M15" s="110"/>
      <c r="N15" s="91" t="s">
        <v>711</v>
      </c>
      <c r="O15" s="110"/>
      <c r="P15" s="110"/>
      <c r="Q15" s="91"/>
      <c r="R15" s="110"/>
      <c r="S15" s="110"/>
      <c r="T15" s="110"/>
      <c r="U15" s="124"/>
      <c r="V15" s="124"/>
      <c r="W15" s="124"/>
      <c r="X15" s="124"/>
      <c r="Y15" s="124"/>
      <c r="Z15" s="124"/>
      <c r="AA15" s="124"/>
      <c r="AB15" s="124"/>
    </row>
    <row r="16" ht="13.5" customHeight="1">
      <c r="A16" s="124"/>
      <c r="B16" s="124"/>
      <c r="C16" s="124">
        <v>10.0</v>
      </c>
      <c r="D16" s="91" t="s">
        <v>776</v>
      </c>
      <c r="E16" s="110" t="s">
        <v>304</v>
      </c>
      <c r="F16" s="110" t="s">
        <v>689</v>
      </c>
      <c r="G16" s="152" t="s">
        <v>777</v>
      </c>
      <c r="H16" s="110" t="s">
        <v>713</v>
      </c>
      <c r="I16" s="153" t="s">
        <v>305</v>
      </c>
      <c r="J16" s="92">
        <v>33000.0</v>
      </c>
      <c r="K16" s="110"/>
      <c r="L16" s="110"/>
      <c r="M16" s="110"/>
      <c r="N16" s="91" t="s">
        <v>711</v>
      </c>
      <c r="O16" s="110"/>
      <c r="P16" s="110"/>
      <c r="Q16" s="91"/>
      <c r="R16" s="110"/>
      <c r="S16" s="110"/>
      <c r="T16" s="110"/>
      <c r="U16" s="124"/>
      <c r="V16" s="124"/>
      <c r="W16" s="124"/>
      <c r="X16" s="124"/>
      <c r="Y16" s="124"/>
      <c r="Z16" s="124"/>
      <c r="AA16" s="124"/>
      <c r="AB16" s="124"/>
    </row>
    <row r="17" ht="13.5" customHeight="1">
      <c r="A17" s="124"/>
      <c r="B17" s="124"/>
      <c r="C17" s="124">
        <v>11.0</v>
      </c>
      <c r="D17" s="91" t="s">
        <v>778</v>
      </c>
      <c r="E17" s="110" t="s">
        <v>716</v>
      </c>
      <c r="F17" s="110" t="s">
        <v>779</v>
      </c>
      <c r="G17" s="152" t="s">
        <v>780</v>
      </c>
      <c r="H17" s="110" t="s">
        <v>781</v>
      </c>
      <c r="I17" s="153" t="s">
        <v>316</v>
      </c>
      <c r="J17" s="92">
        <v>25000.0</v>
      </c>
      <c r="K17" s="110">
        <v>18000.0</v>
      </c>
      <c r="L17" s="110"/>
      <c r="M17" s="110"/>
      <c r="N17" s="91" t="s">
        <v>711</v>
      </c>
      <c r="O17" s="110"/>
      <c r="P17" s="110"/>
      <c r="Q17" s="91"/>
      <c r="R17" s="110"/>
      <c r="S17" s="110"/>
      <c r="T17" s="110"/>
      <c r="U17" s="124"/>
      <c r="V17" s="124"/>
      <c r="W17" s="124"/>
      <c r="X17" s="124"/>
      <c r="Y17" s="124"/>
      <c r="Z17" s="124"/>
      <c r="AA17" s="124"/>
      <c r="AB17" s="124"/>
    </row>
    <row r="18" ht="13.5" customHeight="1">
      <c r="A18" s="124"/>
      <c r="B18" s="124"/>
      <c r="C18" s="124">
        <v>12.0</v>
      </c>
      <c r="D18" s="91" t="s">
        <v>782</v>
      </c>
      <c r="E18" s="110" t="s">
        <v>304</v>
      </c>
      <c r="F18" s="110" t="s">
        <v>335</v>
      </c>
      <c r="G18" s="152" t="s">
        <v>783</v>
      </c>
      <c r="H18" s="110" t="s">
        <v>654</v>
      </c>
      <c r="I18" s="153" t="s">
        <v>714</v>
      </c>
      <c r="J18" s="110">
        <v>6500.0</v>
      </c>
      <c r="K18" s="110">
        <v>5015.0</v>
      </c>
      <c r="L18" s="110"/>
      <c r="M18" s="110"/>
      <c r="N18" s="91" t="s">
        <v>711</v>
      </c>
      <c r="O18" s="110"/>
      <c r="P18" s="110"/>
      <c r="Q18" s="91"/>
      <c r="R18" s="110"/>
      <c r="S18" s="110"/>
      <c r="T18" s="110"/>
      <c r="U18" s="124"/>
      <c r="V18" s="124"/>
      <c r="W18" s="124"/>
      <c r="X18" s="124"/>
      <c r="Y18" s="124"/>
      <c r="Z18" s="124"/>
      <c r="AA18" s="124"/>
      <c r="AB18" s="124"/>
    </row>
    <row r="19" ht="13.5" customHeight="1">
      <c r="A19" s="124"/>
      <c r="B19" s="124"/>
      <c r="C19" s="124">
        <v>13.0</v>
      </c>
      <c r="D19" s="91" t="s">
        <v>784</v>
      </c>
      <c r="E19" s="91" t="s">
        <v>304</v>
      </c>
      <c r="F19" s="91" t="s">
        <v>779</v>
      </c>
      <c r="G19" s="159" t="s">
        <v>785</v>
      </c>
      <c r="H19" s="91" t="s">
        <v>781</v>
      </c>
      <c r="I19" s="160" t="s">
        <v>316</v>
      </c>
      <c r="J19" s="91">
        <v>15000.0</v>
      </c>
      <c r="K19" s="91">
        <v>13000.0</v>
      </c>
      <c r="L19" s="91">
        <v>20000.0</v>
      </c>
      <c r="M19" s="91"/>
      <c r="N19" s="91"/>
      <c r="O19" s="110"/>
      <c r="P19" s="110"/>
      <c r="Q19" s="91"/>
      <c r="R19" s="110"/>
      <c r="S19" s="110"/>
      <c r="T19" s="110"/>
      <c r="U19" s="124"/>
      <c r="V19" s="124"/>
      <c r="W19" s="124"/>
      <c r="X19" s="124"/>
      <c r="Y19" s="124"/>
      <c r="Z19" s="124"/>
      <c r="AA19" s="124"/>
      <c r="AB19" s="124"/>
    </row>
    <row r="20" ht="13.5" customHeight="1">
      <c r="A20" s="124"/>
      <c r="B20" s="124"/>
      <c r="C20" s="124">
        <v>14.0</v>
      </c>
      <c r="D20" s="91" t="s">
        <v>786</v>
      </c>
      <c r="E20" s="110" t="s">
        <v>304</v>
      </c>
      <c r="F20" s="110" t="s">
        <v>700</v>
      </c>
      <c r="G20" s="152" t="s">
        <v>771</v>
      </c>
      <c r="H20" s="110" t="s">
        <v>713</v>
      </c>
      <c r="I20" s="110" t="s">
        <v>787</v>
      </c>
      <c r="J20" s="110"/>
      <c r="K20" s="110"/>
      <c r="L20" s="110"/>
      <c r="M20" s="110"/>
      <c r="N20" s="91" t="s">
        <v>788</v>
      </c>
      <c r="O20" s="110"/>
      <c r="P20" s="110"/>
      <c r="Q20" s="91"/>
      <c r="R20" s="110"/>
      <c r="S20" s="110"/>
      <c r="T20" s="110"/>
      <c r="U20" s="124"/>
      <c r="V20" s="124"/>
      <c r="W20" s="124"/>
      <c r="X20" s="124"/>
      <c r="Y20" s="124"/>
      <c r="Z20" s="124"/>
      <c r="AA20" s="124"/>
      <c r="AB20" s="124"/>
    </row>
    <row r="21" ht="13.5" customHeight="1">
      <c r="A21" s="124"/>
      <c r="B21" s="124"/>
      <c r="C21" s="124">
        <v>15.0</v>
      </c>
      <c r="D21" s="91" t="s">
        <v>789</v>
      </c>
      <c r="E21" s="91" t="s">
        <v>304</v>
      </c>
      <c r="F21" s="91" t="s">
        <v>790</v>
      </c>
      <c r="G21" s="159" t="s">
        <v>367</v>
      </c>
      <c r="H21" s="91" t="s">
        <v>791</v>
      </c>
      <c r="I21" s="91" t="s">
        <v>792</v>
      </c>
      <c r="J21" s="91"/>
      <c r="K21" s="91"/>
      <c r="L21" s="91"/>
      <c r="M21" s="91"/>
      <c r="N21" s="91"/>
      <c r="O21" s="110"/>
      <c r="P21" s="110"/>
      <c r="Q21" s="91"/>
      <c r="R21" s="110"/>
      <c r="S21" s="110"/>
      <c r="T21" s="110"/>
      <c r="U21" s="124"/>
      <c r="V21" s="124"/>
      <c r="W21" s="124"/>
      <c r="X21" s="124"/>
      <c r="Y21" s="124"/>
      <c r="Z21" s="124"/>
      <c r="AA21" s="124"/>
      <c r="AB21" s="124"/>
    </row>
    <row r="22" ht="13.5" customHeight="1">
      <c r="A22" s="124"/>
      <c r="B22" s="124"/>
      <c r="C22" s="124">
        <v>16.0</v>
      </c>
      <c r="D22" s="91" t="s">
        <v>793</v>
      </c>
      <c r="E22" s="110" t="s">
        <v>355</v>
      </c>
      <c r="F22" s="110" t="s">
        <v>794</v>
      </c>
      <c r="G22" s="110"/>
      <c r="H22" s="110"/>
      <c r="I22" s="110"/>
      <c r="J22" s="110"/>
      <c r="K22" s="110"/>
      <c r="L22" s="110"/>
      <c r="M22" s="110"/>
      <c r="N22" s="91"/>
      <c r="O22" s="110"/>
      <c r="P22" s="110"/>
      <c r="Q22" s="91"/>
      <c r="R22" s="110"/>
      <c r="S22" s="110"/>
      <c r="T22" s="110"/>
      <c r="U22" s="124"/>
      <c r="V22" s="124"/>
      <c r="W22" s="124"/>
      <c r="X22" s="124"/>
      <c r="Y22" s="124"/>
      <c r="Z22" s="124"/>
      <c r="AA22" s="124"/>
      <c r="AB22" s="124"/>
    </row>
    <row r="23" ht="13.5" customHeight="1">
      <c r="A23" s="124"/>
      <c r="B23" s="124"/>
      <c r="C23" s="124">
        <v>17.0</v>
      </c>
      <c r="D23" s="110" t="s">
        <v>795</v>
      </c>
      <c r="E23" s="110" t="s">
        <v>355</v>
      </c>
      <c r="F23" s="110" t="s">
        <v>794</v>
      </c>
      <c r="G23" s="110"/>
      <c r="H23" s="110"/>
      <c r="I23" s="110"/>
      <c r="J23" s="110"/>
      <c r="K23" s="110"/>
      <c r="L23" s="110"/>
      <c r="M23" s="110"/>
      <c r="N23" s="91"/>
      <c r="O23" s="110"/>
      <c r="P23" s="110"/>
      <c r="Q23" s="110"/>
      <c r="R23" s="110"/>
      <c r="S23" s="110"/>
      <c r="T23" s="110"/>
      <c r="U23" s="161"/>
      <c r="V23" s="161"/>
      <c r="W23" s="124"/>
      <c r="X23" s="124"/>
      <c r="Y23" s="124"/>
      <c r="Z23" s="124"/>
      <c r="AA23" s="124"/>
      <c r="AB23" s="124"/>
    </row>
    <row r="24" ht="13.5" customHeight="1">
      <c r="A24" s="124"/>
      <c r="B24" s="124"/>
      <c r="C24" s="124">
        <v>18.0</v>
      </c>
      <c r="D24" s="124" t="s">
        <v>796</v>
      </c>
      <c r="E24" s="124" t="s">
        <v>355</v>
      </c>
      <c r="F24" s="110" t="s">
        <v>794</v>
      </c>
      <c r="G24" s="110"/>
      <c r="H24" s="110"/>
      <c r="I24" s="110"/>
      <c r="J24" s="110"/>
      <c r="K24" s="110"/>
      <c r="L24" s="110"/>
      <c r="M24" s="110"/>
      <c r="N24" s="110"/>
      <c r="O24" s="110"/>
      <c r="P24" s="110"/>
      <c r="Q24" s="110"/>
      <c r="R24" s="110"/>
      <c r="S24" s="110"/>
      <c r="T24" s="110"/>
      <c r="U24" s="124"/>
      <c r="V24" s="124"/>
      <c r="W24" s="124"/>
      <c r="X24" s="124"/>
      <c r="Y24" s="124"/>
      <c r="Z24" s="124"/>
      <c r="AA24" s="124"/>
      <c r="AB24" s="124"/>
    </row>
    <row r="25" ht="13.5" customHeight="1">
      <c r="A25" s="124"/>
      <c r="B25" s="124"/>
      <c r="C25" s="124">
        <v>14.0</v>
      </c>
      <c r="D25" s="124" t="s">
        <v>797</v>
      </c>
      <c r="E25" s="124" t="s">
        <v>355</v>
      </c>
      <c r="F25" s="110" t="s">
        <v>794</v>
      </c>
      <c r="G25" s="110"/>
      <c r="H25" s="110"/>
      <c r="I25" s="110"/>
      <c r="J25" s="110"/>
      <c r="K25" s="110"/>
      <c r="L25" s="110"/>
      <c r="M25" s="110"/>
      <c r="N25" s="110"/>
      <c r="O25" s="110"/>
      <c r="P25" s="110"/>
      <c r="Q25" s="110"/>
      <c r="R25" s="110"/>
      <c r="S25" s="110"/>
      <c r="T25" s="110"/>
      <c r="U25" s="124"/>
      <c r="V25" s="124"/>
      <c r="W25" s="124"/>
      <c r="X25" s="124"/>
      <c r="Y25" s="124"/>
      <c r="Z25" s="124"/>
      <c r="AA25" s="124"/>
      <c r="AB25" s="124"/>
    </row>
    <row r="26" ht="13.5" customHeight="1">
      <c r="A26" s="124"/>
      <c r="B26" s="124"/>
      <c r="C26" s="124">
        <v>14.0</v>
      </c>
      <c r="D26" s="124" t="s">
        <v>798</v>
      </c>
      <c r="E26" s="124" t="s">
        <v>355</v>
      </c>
      <c r="F26" s="110" t="s">
        <v>794</v>
      </c>
      <c r="G26" s="110"/>
      <c r="H26" s="110"/>
      <c r="I26" s="110"/>
      <c r="J26" s="110"/>
      <c r="K26" s="110"/>
      <c r="L26" s="110"/>
      <c r="M26" s="110"/>
      <c r="N26" s="110"/>
      <c r="O26" s="110"/>
      <c r="P26" s="110"/>
      <c r="Q26" s="110"/>
      <c r="R26" s="110"/>
      <c r="S26" s="110"/>
      <c r="T26" s="110"/>
      <c r="U26" s="124"/>
      <c r="V26" s="124"/>
      <c r="W26" s="124"/>
      <c r="X26" s="124"/>
      <c r="Y26" s="124"/>
      <c r="Z26" s="124"/>
      <c r="AA26" s="124"/>
      <c r="AB26" s="124"/>
    </row>
    <row r="27" ht="13.5" customHeight="1">
      <c r="A27" s="124"/>
      <c r="B27" s="124"/>
      <c r="C27" s="124"/>
      <c r="D27" s="124"/>
      <c r="E27" s="124"/>
      <c r="F27" s="124"/>
      <c r="G27" s="124"/>
      <c r="H27" s="124"/>
      <c r="I27" s="124"/>
      <c r="J27" s="124"/>
      <c r="K27" s="124"/>
      <c r="L27" s="124"/>
      <c r="M27" s="124"/>
      <c r="N27" s="124"/>
      <c r="O27" s="124"/>
      <c r="P27" s="124"/>
      <c r="Q27" s="124"/>
      <c r="R27" s="124"/>
      <c r="S27" s="124"/>
      <c r="T27" s="124"/>
      <c r="U27" s="124"/>
      <c r="V27" s="124"/>
      <c r="W27" s="124"/>
      <c r="X27" s="124"/>
      <c r="Y27" s="124"/>
      <c r="Z27" s="124"/>
      <c r="AA27" s="124"/>
      <c r="AB27" s="124"/>
    </row>
    <row r="28" ht="13.5" customHeight="1">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row>
    <row r="29" ht="13.5" customHeight="1">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c r="AA29" s="124"/>
      <c r="AB29" s="124"/>
    </row>
    <row r="30" ht="13.5" customHeight="1">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c r="AA30" s="124"/>
      <c r="AB30" s="124"/>
    </row>
    <row r="31" ht="13.5" customHeight="1">
      <c r="A31" s="124"/>
      <c r="B31" s="124"/>
      <c r="C31" s="124"/>
      <c r="D31" s="124"/>
      <c r="E31" s="124"/>
      <c r="F31" s="124"/>
      <c r="G31" s="124"/>
      <c r="H31" s="124"/>
      <c r="I31" s="124"/>
      <c r="J31" s="124"/>
      <c r="K31" s="124"/>
      <c r="L31" s="124"/>
      <c r="M31" s="124"/>
      <c r="N31" s="124"/>
      <c r="O31" s="124"/>
      <c r="P31" s="124"/>
      <c r="Q31" s="124"/>
      <c r="R31" s="124"/>
      <c r="S31" s="124"/>
      <c r="T31" s="124"/>
      <c r="U31" s="124"/>
      <c r="V31" s="124"/>
      <c r="W31" s="124"/>
      <c r="X31" s="124"/>
      <c r="Y31" s="124"/>
      <c r="Z31" s="124"/>
      <c r="AA31" s="124"/>
      <c r="AB31" s="124"/>
    </row>
    <row r="32" ht="13.5" customHeight="1">
      <c r="A32" s="124"/>
      <c r="B32" s="124"/>
      <c r="C32" s="124"/>
      <c r="D32" s="124"/>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row>
    <row r="33" ht="13.5" customHeight="1">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row>
    <row r="34" ht="13.5" customHeight="1">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c r="AA34" s="124"/>
      <c r="AB34" s="124"/>
    </row>
    <row r="35" ht="13.5" customHeight="1">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row>
    <row r="36" ht="13.5" customHeight="1">
      <c r="A36" s="124"/>
      <c r="B36" s="124"/>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c r="AA36" s="124"/>
      <c r="AB36" s="124"/>
    </row>
    <row r="37" ht="13.5" customHeight="1">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c r="AA37" s="124"/>
      <c r="AB37" s="124"/>
    </row>
    <row r="38" ht="13.5" customHeight="1">
      <c r="A38" s="124"/>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row>
    <row r="39" ht="13.5" customHeight="1">
      <c r="A39" s="124"/>
      <c r="B39" s="124"/>
      <c r="C39" s="151">
        <v>45753.0</v>
      </c>
      <c r="D39" s="124">
        <v>20000.0</v>
      </c>
      <c r="E39" s="124" t="s">
        <v>799</v>
      </c>
      <c r="F39" s="124" t="s">
        <v>800</v>
      </c>
      <c r="G39" s="124"/>
      <c r="H39" s="124"/>
      <c r="I39" s="124"/>
      <c r="J39" s="124"/>
      <c r="K39" s="124"/>
      <c r="L39" s="124"/>
      <c r="M39" s="124"/>
      <c r="N39" s="124"/>
      <c r="O39" s="124"/>
      <c r="P39" s="124"/>
      <c r="Q39" s="124"/>
      <c r="R39" s="124"/>
      <c r="S39" s="124"/>
      <c r="T39" s="124"/>
      <c r="U39" s="124"/>
      <c r="V39" s="124"/>
      <c r="W39" s="124"/>
      <c r="X39" s="124"/>
      <c r="Y39" s="124"/>
      <c r="Z39" s="124"/>
      <c r="AA39" s="124"/>
      <c r="AB39" s="124"/>
    </row>
    <row r="40" ht="13.5" customHeight="1">
      <c r="A40" s="124"/>
      <c r="B40" s="124"/>
      <c r="C40" s="151">
        <v>45814.0</v>
      </c>
      <c r="D40" s="124">
        <v>20000.0</v>
      </c>
      <c r="E40" s="124" t="s">
        <v>801</v>
      </c>
      <c r="F40" s="124" t="s">
        <v>802</v>
      </c>
      <c r="G40" s="124"/>
      <c r="H40" s="124"/>
      <c r="I40" s="124"/>
      <c r="J40" s="124"/>
      <c r="K40" s="124"/>
      <c r="L40" s="124"/>
      <c r="M40" s="124"/>
      <c r="N40" s="124"/>
      <c r="O40" s="124"/>
      <c r="P40" s="124"/>
      <c r="Q40" s="124"/>
      <c r="R40" s="124"/>
      <c r="S40" s="124"/>
      <c r="T40" s="124"/>
      <c r="U40" s="124"/>
      <c r="V40" s="124"/>
      <c r="W40" s="124"/>
      <c r="X40" s="124"/>
      <c r="Y40" s="124"/>
      <c r="Z40" s="124"/>
      <c r="AA40" s="124"/>
      <c r="AB40" s="124"/>
    </row>
    <row r="41" ht="13.5" customHeight="1">
      <c r="A41" s="124"/>
      <c r="B41" s="124"/>
      <c r="C41" s="124" t="s">
        <v>803</v>
      </c>
      <c r="D41" s="124">
        <v>43000.0</v>
      </c>
      <c r="E41" s="124" t="s">
        <v>801</v>
      </c>
      <c r="F41" s="124" t="s">
        <v>804</v>
      </c>
      <c r="G41" s="124"/>
      <c r="H41" s="124"/>
      <c r="I41" s="124"/>
      <c r="J41" s="124"/>
      <c r="K41" s="124"/>
      <c r="L41" s="124"/>
      <c r="M41" s="124"/>
      <c r="N41" s="124"/>
      <c r="O41" s="124"/>
      <c r="P41" s="124"/>
      <c r="Q41" s="124"/>
      <c r="R41" s="124"/>
      <c r="S41" s="124"/>
      <c r="T41" s="124"/>
      <c r="U41" s="124"/>
      <c r="V41" s="124"/>
      <c r="W41" s="124"/>
      <c r="X41" s="124"/>
      <c r="Y41" s="124"/>
      <c r="Z41" s="124"/>
      <c r="AA41" s="124"/>
      <c r="AB41" s="124"/>
    </row>
    <row r="42" ht="13.5" customHeight="1">
      <c r="A42" s="124"/>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row>
    <row r="43" ht="13.5" customHeight="1">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row>
    <row r="44" ht="13.5" customHeight="1">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row>
    <row r="45" ht="13.5" customHeight="1">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row>
    <row r="46" ht="13.5" customHeight="1">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row>
    <row r="47" ht="13.5" customHeight="1">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row>
    <row r="48" ht="13.5" customHeight="1">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row>
    <row r="49" ht="13.5" customHeight="1">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row>
    <row r="50" ht="13.5" customHeight="1">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row>
    <row r="51" ht="13.5" customHeight="1">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row>
    <row r="52" ht="13.5" customHeight="1">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row>
    <row r="53" ht="13.5" customHeight="1">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row>
    <row r="54" ht="13.5" customHeight="1">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row>
    <row r="55" ht="13.5" customHeight="1">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row>
    <row r="56" ht="13.5" customHeight="1">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row>
    <row r="57" ht="13.5" customHeight="1">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row>
    <row r="58" ht="13.5" customHeight="1">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row>
    <row r="59" ht="13.5" customHeight="1">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row>
    <row r="60" ht="13.5" customHeight="1">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row>
    <row r="61" ht="13.5" customHeight="1">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row>
    <row r="62" ht="13.5" customHeight="1">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row>
    <row r="63" ht="13.5" customHeight="1">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row>
    <row r="64" ht="13.5" customHeight="1">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row>
    <row r="65" ht="13.5" customHeight="1">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row>
    <row r="66" ht="13.5" customHeight="1">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row>
    <row r="67" ht="13.5" customHeight="1">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row>
    <row r="68" ht="13.5" customHeight="1">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row>
    <row r="69" ht="13.5" customHeight="1">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row>
    <row r="70" ht="13.5" customHeight="1">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row>
    <row r="71" ht="13.5" customHeight="1">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row>
    <row r="72" ht="13.5" customHeight="1">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row>
    <row r="73" ht="13.5" customHeight="1">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row>
    <row r="74" ht="13.5" customHeight="1">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row>
    <row r="75" ht="13.5" customHeight="1">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row>
    <row r="76" ht="13.5" customHeight="1">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row>
    <row r="77" ht="13.5" customHeight="1">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row>
    <row r="78" ht="13.5" customHeight="1">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row>
    <row r="79" ht="13.5" customHeight="1">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row>
    <row r="80" ht="13.5" customHeight="1">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row>
    <row r="81" ht="13.5" customHeight="1">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row>
    <row r="82" ht="13.5" customHeight="1">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row>
    <row r="83" ht="13.5" customHeight="1">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row>
    <row r="84" ht="13.5" customHeight="1">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row>
    <row r="85" ht="13.5" customHeight="1">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row>
    <row r="86" ht="13.5" customHeight="1">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row>
    <row r="87" ht="13.5" customHeight="1">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row>
    <row r="88" ht="13.5" customHeight="1">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row>
    <row r="89" ht="13.5" customHeight="1">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row>
    <row r="90" ht="13.5" customHeight="1">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row>
    <row r="91" ht="13.5" customHeight="1">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row>
    <row r="92" ht="13.5" customHeight="1">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row>
    <row r="93" ht="13.5" customHeight="1">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row>
    <row r="94" ht="13.5" customHeight="1">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row>
    <row r="95" ht="13.5" customHeight="1">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row>
    <row r="96" ht="13.5" customHeight="1">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row>
    <row r="97" ht="13.5" customHeight="1">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row>
    <row r="98" ht="13.5" customHeight="1">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row>
    <row r="99" ht="13.5" customHeight="1">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c r="AA99" s="124"/>
      <c r="AB99" s="124"/>
    </row>
    <row r="100" ht="13.5" customHeight="1">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row>
    <row r="101" ht="13.5" customHeight="1">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c r="AA101" s="124"/>
      <c r="AB101" s="124"/>
    </row>
    <row r="102" ht="13.5" customHeight="1">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c r="AA102" s="124"/>
      <c r="AB102" s="124"/>
    </row>
    <row r="103" ht="13.5" customHeight="1">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c r="AA103" s="124"/>
      <c r="AB103" s="124"/>
    </row>
    <row r="104" ht="13.5" customHeight="1">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row>
    <row r="105" ht="13.5" customHeight="1">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c r="AB105" s="124"/>
    </row>
    <row r="106" ht="13.5" customHeight="1">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c r="AA106" s="124"/>
      <c r="AB106" s="124"/>
    </row>
    <row r="107" ht="13.5" customHeight="1">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4"/>
    </row>
    <row r="108" ht="13.5" customHeight="1">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c r="AA108" s="124"/>
      <c r="AB108" s="124"/>
    </row>
    <row r="109" ht="13.5" customHeight="1">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row>
    <row r="110" ht="13.5" customHeight="1">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row>
    <row r="111" ht="13.5" customHeight="1">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row>
    <row r="112" ht="13.5" customHeight="1">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row>
    <row r="113" ht="13.5" customHeight="1">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c r="AA113" s="124"/>
      <c r="AB113" s="124"/>
    </row>
    <row r="114" ht="13.5" customHeight="1">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c r="AA114" s="124"/>
      <c r="AB114" s="124"/>
    </row>
    <row r="115" ht="13.5" customHeight="1">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row>
    <row r="116" ht="13.5" customHeight="1">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c r="AA116" s="124"/>
      <c r="AB116" s="124"/>
    </row>
    <row r="117" ht="13.5" customHeight="1">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row>
    <row r="118" ht="13.5" customHeight="1">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c r="AB118" s="124"/>
    </row>
    <row r="119" ht="13.5" customHeight="1">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row>
    <row r="120" ht="13.5" customHeight="1">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row>
    <row r="121" ht="13.5" customHeight="1">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row>
    <row r="122" ht="13.5" customHeight="1">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row>
    <row r="123" ht="13.5" customHeight="1">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row>
    <row r="124" ht="13.5" customHeight="1">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row>
    <row r="125" ht="13.5" customHeight="1">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row>
    <row r="126" ht="13.5" customHeight="1">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row>
    <row r="127" ht="13.5" customHeight="1">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row>
    <row r="128" ht="13.5" customHeight="1">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row>
    <row r="129" ht="13.5" customHeight="1">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row>
    <row r="130" ht="13.5" customHeight="1">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row>
    <row r="131" ht="13.5" customHeight="1">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row>
    <row r="132" ht="13.5" customHeight="1">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row>
    <row r="133" ht="13.5" customHeight="1">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c r="AB133" s="124"/>
    </row>
    <row r="134" ht="13.5" customHeight="1">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row>
    <row r="135" ht="13.5" customHeight="1">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row>
    <row r="136" ht="13.5" customHeight="1">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c r="AB136" s="124"/>
    </row>
    <row r="137" ht="13.5" customHeight="1">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row>
    <row r="138" ht="13.5" customHeight="1">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row>
    <row r="139" ht="13.5" customHeight="1">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row>
    <row r="140" ht="13.5" customHeight="1">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row>
    <row r="141" ht="13.5" customHeight="1">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row>
    <row r="142" ht="13.5" customHeight="1">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row>
    <row r="143" ht="13.5" customHeight="1">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row>
    <row r="144" ht="13.5" customHeight="1">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row>
    <row r="145" ht="13.5" customHeight="1">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row>
    <row r="146" ht="13.5" customHeight="1">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row>
    <row r="147" ht="13.5" customHeight="1">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row>
    <row r="148" ht="13.5" customHeight="1">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row>
    <row r="149" ht="13.5" customHeight="1">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row>
    <row r="150" ht="13.5" customHeight="1">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row>
    <row r="151" ht="13.5" customHeight="1">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row>
    <row r="152" ht="13.5" customHeight="1">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c r="AB152" s="124"/>
    </row>
    <row r="153" ht="13.5" customHeight="1">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c r="AB153" s="124"/>
    </row>
    <row r="154" ht="13.5" customHeight="1">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row>
    <row r="155" ht="13.5" customHeight="1">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c r="AB155" s="124"/>
    </row>
    <row r="156" ht="13.5" customHeight="1">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row>
    <row r="157" ht="13.5" customHeight="1">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row>
    <row r="158" ht="13.5" customHeight="1">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row>
    <row r="159" ht="13.5" customHeight="1">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row>
    <row r="160" ht="13.5" customHeight="1">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row>
    <row r="161" ht="13.5" customHeight="1">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row>
    <row r="162" ht="13.5" customHeight="1">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row>
    <row r="163" ht="13.5" customHeight="1">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124"/>
    </row>
    <row r="164" ht="13.5" customHeight="1">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row>
    <row r="165" ht="13.5" customHeight="1">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row>
    <row r="166" ht="13.5" customHeight="1">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row>
    <row r="167" ht="13.5" customHeight="1">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c r="AB167" s="124"/>
    </row>
    <row r="168" ht="13.5" customHeight="1">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row>
    <row r="169" ht="13.5" customHeight="1">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c r="AB169" s="124"/>
    </row>
    <row r="170" ht="13.5" customHeight="1">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row>
    <row r="171" ht="13.5" customHeight="1">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124"/>
    </row>
    <row r="172" ht="13.5" customHeight="1">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row>
    <row r="173" ht="13.5" customHeight="1">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row>
    <row r="174" ht="13.5" customHeight="1">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row>
    <row r="175" ht="13.5" customHeight="1">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124"/>
    </row>
    <row r="176" ht="13.5" customHeight="1">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row>
    <row r="177" ht="13.5" customHeight="1">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row>
    <row r="178" ht="13.5" customHeight="1">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row>
    <row r="179" ht="13.5" customHeight="1">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124"/>
    </row>
    <row r="180" ht="13.5" customHeight="1">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row>
    <row r="181" ht="13.5" customHeight="1">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row>
    <row r="182" ht="13.5" customHeight="1">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124"/>
    </row>
    <row r="183" ht="13.5" customHeight="1">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c r="AB183" s="124"/>
    </row>
    <row r="184" ht="13.5" customHeight="1">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row>
    <row r="185" ht="13.5" customHeight="1">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124"/>
    </row>
    <row r="186" ht="13.5" customHeight="1">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row>
    <row r="187" ht="13.5" customHeight="1">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row>
    <row r="188" ht="13.5" customHeight="1">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row>
    <row r="189" ht="13.5" customHeight="1">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row>
    <row r="190" ht="13.5" customHeight="1">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row>
    <row r="191" ht="13.5" customHeight="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row>
    <row r="192" ht="13.5" customHeight="1">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row>
    <row r="193" ht="13.5" customHeight="1">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row>
    <row r="194" ht="13.5" customHeight="1">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row>
    <row r="195" ht="13.5" customHeight="1">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row>
    <row r="196" ht="13.5" customHeight="1">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row>
    <row r="197" ht="13.5" customHeight="1">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row>
    <row r="198" ht="13.5" customHeight="1">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row>
    <row r="199" ht="13.5" customHeight="1">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row>
    <row r="200" ht="13.5" customHeight="1">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row>
    <row r="201" ht="13.5" customHeight="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row>
    <row r="202" ht="13.5" customHeight="1">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row>
    <row r="203" ht="13.5" customHeight="1">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row>
    <row r="204" ht="13.5" customHeight="1">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row>
    <row r="205" ht="13.5" customHeight="1">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row>
    <row r="206" ht="13.5" customHeight="1">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row>
    <row r="207" ht="13.5" customHeight="1">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row>
    <row r="208" ht="13.5" customHeight="1">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row>
    <row r="209" ht="13.5" customHeight="1">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row>
    <row r="210" ht="13.5" customHeight="1">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row>
    <row r="211" ht="13.5" customHeight="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row>
    <row r="212" ht="13.5" customHeight="1">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row>
    <row r="213" ht="13.5" customHeight="1">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row>
    <row r="214" ht="13.5" customHeight="1">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row>
    <row r="215" ht="13.5" customHeight="1">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row>
    <row r="216" ht="13.5" customHeight="1">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row>
    <row r="217" ht="13.5" customHeight="1">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row>
    <row r="218" ht="13.5" customHeight="1">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row>
    <row r="219" ht="13.5" customHeight="1">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row>
    <row r="220" ht="13.5" customHeight="1">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row>
    <row r="221" ht="13.5" customHeight="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row>
    <row r="222" ht="13.5" customHeight="1">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row>
    <row r="223" ht="13.5" customHeight="1">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row>
    <row r="224" ht="13.5" customHeight="1">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row>
    <row r="225" ht="13.5" customHeight="1">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row>
    <row r="226" ht="13.5" customHeight="1">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row>
    <row r="227" ht="13.5" customHeight="1">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row>
    <row r="228" ht="13.5" customHeight="1">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row>
    <row r="229" ht="13.5" customHeight="1">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row>
    <row r="230" ht="13.5" customHeight="1">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row>
    <row r="231" ht="13.5" customHeight="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row>
    <row r="232" ht="13.5" customHeight="1">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row>
    <row r="233" ht="13.5" customHeight="1">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row>
    <row r="234" ht="13.5" customHeight="1">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row>
    <row r="235" ht="13.5" customHeight="1">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row>
    <row r="236" ht="13.5" customHeight="1">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row>
    <row r="237" ht="13.5" customHeight="1">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row>
    <row r="238" ht="13.5" customHeight="1">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row>
    <row r="239" ht="13.5" customHeight="1">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row>
    <row r="240" ht="13.5" customHeight="1">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row>
    <row r="241" ht="13.5" customHeight="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row>
    <row r="242" ht="13.5" customHeight="1">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row>
    <row r="243" ht="13.5" customHeight="1">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row>
    <row r="244" ht="13.5" customHeight="1">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row>
    <row r="245" ht="13.5" customHeight="1">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row>
    <row r="246" ht="13.5" customHeight="1">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row>
    <row r="247" ht="13.5" customHeight="1">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row>
    <row r="248" ht="13.5" customHeight="1">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row>
    <row r="249" ht="13.5" customHeight="1">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row>
    <row r="250" ht="13.5" customHeight="1">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row>
    <row r="251" ht="13.5" customHeight="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row>
    <row r="252" ht="13.5" customHeight="1">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row>
    <row r="253" ht="13.5" customHeight="1">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row>
    <row r="254" ht="13.5" customHeight="1">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row>
    <row r="255" ht="13.5" customHeight="1">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row>
    <row r="256" ht="13.5" customHeight="1">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row>
    <row r="257" ht="13.5" customHeight="1">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row>
    <row r="258" ht="13.5" customHeight="1">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row>
    <row r="259" ht="13.5" customHeight="1">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row>
    <row r="260" ht="13.5" customHeight="1">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row>
    <row r="261" ht="13.5" customHeight="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row>
    <row r="262" ht="13.5" customHeight="1">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row>
    <row r="263" ht="13.5" customHeight="1">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row>
    <row r="264" ht="13.5" customHeight="1">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row>
    <row r="265" ht="13.5" customHeight="1">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row>
    <row r="266" ht="13.5" customHeight="1">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row>
    <row r="267" ht="13.5" customHeight="1">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row>
    <row r="268" ht="13.5" customHeight="1">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row>
    <row r="269" ht="13.5" customHeight="1">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row>
    <row r="270" ht="13.5" customHeight="1">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row>
    <row r="271" ht="13.5" customHeight="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row>
    <row r="272" ht="13.5" customHeight="1">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row>
    <row r="273" ht="13.5" customHeight="1">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row>
    <row r="274" ht="13.5" customHeight="1">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row>
    <row r="275" ht="13.5" customHeight="1">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row>
    <row r="276" ht="13.5" customHeight="1">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row>
    <row r="277" ht="13.5" customHeight="1">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row>
    <row r="278" ht="13.5" customHeight="1">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row>
    <row r="279" ht="13.5" customHeight="1">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row>
    <row r="280" ht="13.5" customHeight="1">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row>
    <row r="281" ht="13.5" customHeight="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row>
    <row r="282" ht="13.5" customHeight="1">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row>
    <row r="283" ht="13.5" customHeight="1">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row>
    <row r="284" ht="13.5" customHeight="1">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row>
    <row r="285" ht="13.5" customHeight="1">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row>
    <row r="286" ht="13.5" customHeight="1">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row>
    <row r="287" ht="13.5" customHeight="1">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row>
    <row r="288" ht="13.5" customHeight="1">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row>
    <row r="289" ht="13.5" customHeight="1">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row>
    <row r="290" ht="13.5" customHeight="1">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row>
    <row r="291" ht="13.5" customHeight="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row>
    <row r="292" ht="13.5" customHeight="1">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row>
    <row r="293" ht="13.5" customHeight="1">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row>
    <row r="294" ht="13.5" customHeight="1">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row>
    <row r="295" ht="13.5" customHeight="1">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row>
    <row r="296" ht="13.5" customHeight="1">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row>
    <row r="297" ht="13.5" customHeight="1">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row>
    <row r="298" ht="13.5" customHeight="1">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row>
    <row r="299" ht="13.5" customHeight="1">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row>
    <row r="300" ht="13.5" customHeight="1">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row>
    <row r="301" ht="13.5" customHeight="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row>
    <row r="302" ht="13.5" customHeight="1">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row>
    <row r="303" ht="13.5" customHeight="1">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row>
    <row r="304" ht="13.5" customHeight="1">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row>
    <row r="305" ht="13.5" customHeight="1">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row>
    <row r="306" ht="13.5" customHeight="1">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row>
    <row r="307" ht="13.5" customHeight="1">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row>
    <row r="308" ht="13.5" customHeight="1">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row>
    <row r="309" ht="13.5" customHeight="1">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row>
    <row r="310" ht="13.5" customHeight="1">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row>
    <row r="311" ht="13.5" customHeight="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row>
    <row r="312" ht="13.5" customHeight="1">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row>
    <row r="313" ht="13.5" customHeight="1">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row>
    <row r="314" ht="13.5" customHeight="1">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row>
    <row r="315" ht="13.5" customHeight="1">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row>
    <row r="316" ht="13.5" customHeight="1">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row>
    <row r="317" ht="13.5" customHeight="1">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row>
    <row r="318" ht="13.5" customHeight="1">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row>
    <row r="319" ht="13.5" customHeight="1">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row>
    <row r="320" ht="13.5" customHeight="1">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row>
    <row r="321" ht="13.5" customHeight="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row>
    <row r="322" ht="13.5" customHeight="1">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row>
    <row r="323" ht="13.5" customHeight="1">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row>
    <row r="324" ht="13.5" customHeight="1">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row>
    <row r="325" ht="13.5" customHeight="1">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row>
    <row r="326" ht="13.5" customHeight="1">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row>
    <row r="327" ht="13.5" customHeight="1">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row>
    <row r="328" ht="13.5" customHeight="1">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row>
    <row r="329" ht="13.5" customHeight="1">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row>
    <row r="330" ht="13.5" customHeight="1">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row>
    <row r="331" ht="13.5" customHeight="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row>
    <row r="332" ht="13.5" customHeight="1">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row>
    <row r="333" ht="13.5" customHeight="1">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row>
    <row r="334" ht="13.5" customHeight="1">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row>
    <row r="335" ht="13.5" customHeight="1">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row>
    <row r="336" ht="13.5" customHeight="1">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row>
    <row r="337" ht="13.5" customHeight="1">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row>
    <row r="338" ht="13.5" customHeight="1">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row>
    <row r="339" ht="13.5" customHeight="1">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row>
    <row r="340" ht="13.5" customHeight="1">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row>
    <row r="341" ht="13.5" customHeight="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row>
    <row r="342" ht="13.5" customHeight="1">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row>
    <row r="343" ht="13.5" customHeight="1">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row>
    <row r="344" ht="13.5" customHeight="1">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row>
    <row r="345" ht="13.5" customHeight="1">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row>
    <row r="346" ht="13.5" customHeight="1">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row>
    <row r="347" ht="13.5" customHeight="1">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row>
    <row r="348" ht="13.5" customHeight="1">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row>
    <row r="349" ht="13.5" customHeight="1">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row>
    <row r="350" ht="13.5" customHeight="1">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row>
    <row r="351" ht="13.5" customHeight="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row>
    <row r="352" ht="13.5" customHeight="1">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row>
    <row r="353" ht="13.5" customHeight="1">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row>
    <row r="354" ht="13.5" customHeight="1">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row>
    <row r="355" ht="13.5" customHeight="1">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row>
    <row r="356" ht="13.5" customHeight="1">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row>
    <row r="357" ht="13.5" customHeight="1">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row>
    <row r="358" ht="13.5" customHeight="1">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row>
    <row r="359" ht="13.5" customHeight="1">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row>
    <row r="360" ht="13.5" customHeight="1">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row>
    <row r="361" ht="13.5" customHeight="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row>
    <row r="362" ht="13.5" customHeight="1">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row>
    <row r="363" ht="13.5" customHeight="1">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row>
    <row r="364" ht="13.5" customHeight="1">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row>
    <row r="365" ht="13.5" customHeight="1">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row>
    <row r="366" ht="13.5" customHeight="1">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row>
    <row r="367" ht="13.5" customHeight="1">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row>
    <row r="368" ht="13.5" customHeight="1">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row>
    <row r="369" ht="13.5" customHeight="1">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row>
    <row r="370" ht="13.5" customHeight="1">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row>
    <row r="371" ht="13.5" customHeight="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row>
    <row r="372" ht="13.5" customHeight="1">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row>
    <row r="373" ht="13.5" customHeight="1">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row>
    <row r="374" ht="13.5" customHeight="1">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row>
    <row r="375" ht="13.5" customHeight="1">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row>
    <row r="376" ht="13.5" customHeight="1">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row>
    <row r="377" ht="13.5" customHeight="1">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row>
    <row r="378" ht="13.5" customHeight="1">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row>
    <row r="379" ht="13.5" customHeight="1">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row>
    <row r="380" ht="13.5" customHeight="1">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row>
    <row r="381" ht="13.5" customHeight="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row>
    <row r="382" ht="13.5" customHeight="1">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row>
    <row r="383" ht="13.5" customHeight="1">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row>
    <row r="384" ht="13.5" customHeight="1">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row>
    <row r="385" ht="13.5" customHeight="1">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row>
    <row r="386" ht="13.5" customHeight="1">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row>
    <row r="387" ht="13.5" customHeight="1">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row>
    <row r="388" ht="13.5" customHeight="1">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row>
    <row r="389" ht="13.5" customHeight="1">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row>
    <row r="390" ht="13.5" customHeight="1">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row>
    <row r="391" ht="13.5" customHeight="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row>
    <row r="392" ht="13.5" customHeight="1">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row>
    <row r="393" ht="13.5" customHeight="1">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row>
    <row r="394" ht="13.5" customHeight="1">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row>
    <row r="395" ht="13.5" customHeight="1">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row>
    <row r="396" ht="13.5" customHeight="1">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row>
    <row r="397" ht="13.5" customHeight="1">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row>
    <row r="398" ht="13.5" customHeight="1">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row>
    <row r="399" ht="13.5" customHeight="1">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row>
    <row r="400" ht="13.5" customHeight="1">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row>
    <row r="401" ht="13.5" customHeight="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row>
    <row r="402" ht="13.5" customHeight="1">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row>
    <row r="403" ht="13.5" customHeight="1">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row>
    <row r="404" ht="13.5" customHeight="1">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row>
    <row r="405" ht="13.5" customHeight="1">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row>
    <row r="406" ht="13.5" customHeight="1">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row>
    <row r="407" ht="13.5" customHeight="1">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row>
    <row r="408" ht="13.5" customHeight="1">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row>
    <row r="409" ht="13.5" customHeight="1">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row>
    <row r="410" ht="13.5" customHeight="1">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row>
    <row r="411" ht="13.5" customHeight="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row>
    <row r="412" ht="13.5" customHeight="1">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row>
    <row r="413" ht="13.5" customHeight="1">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row>
    <row r="414" ht="13.5" customHeight="1">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row>
    <row r="415" ht="13.5" customHeight="1">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row>
    <row r="416" ht="13.5" customHeight="1">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row>
    <row r="417" ht="13.5" customHeight="1">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row>
    <row r="418" ht="13.5" customHeight="1">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row>
    <row r="419" ht="13.5" customHeight="1">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row>
    <row r="420" ht="13.5" customHeight="1">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row>
    <row r="421" ht="13.5" customHeight="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row>
    <row r="422" ht="13.5" customHeight="1">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row>
    <row r="423" ht="13.5" customHeight="1">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row>
    <row r="424" ht="13.5" customHeight="1">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row>
    <row r="425" ht="13.5" customHeight="1">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row>
    <row r="426" ht="13.5" customHeight="1">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row>
    <row r="427" ht="13.5" customHeight="1">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row>
    <row r="428" ht="13.5" customHeight="1">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row>
    <row r="429" ht="13.5" customHeight="1">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row>
    <row r="430" ht="13.5" customHeight="1">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row>
    <row r="431" ht="13.5" customHeight="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row>
    <row r="432" ht="13.5" customHeight="1">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row>
    <row r="433" ht="13.5" customHeight="1">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row>
    <row r="434" ht="13.5" customHeight="1">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row>
    <row r="435" ht="13.5" customHeight="1">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row>
    <row r="436" ht="13.5" customHeight="1">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row>
    <row r="437" ht="13.5" customHeight="1">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row>
    <row r="438" ht="13.5" customHeight="1">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row>
    <row r="439" ht="13.5" customHeight="1">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row>
    <row r="440" ht="13.5" customHeight="1">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row>
    <row r="441" ht="13.5" customHeight="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row>
    <row r="442" ht="13.5" customHeight="1">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row>
    <row r="443" ht="13.5" customHeight="1">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row>
    <row r="444" ht="13.5" customHeight="1">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row>
    <row r="445" ht="13.5" customHeight="1">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row>
    <row r="446" ht="13.5" customHeight="1">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row>
    <row r="447" ht="13.5" customHeight="1">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row>
    <row r="448" ht="13.5" customHeight="1">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row>
    <row r="449" ht="13.5" customHeight="1">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row>
    <row r="450" ht="13.5" customHeight="1">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row>
    <row r="451" ht="13.5" customHeight="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row>
    <row r="452" ht="13.5" customHeight="1">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row>
    <row r="453" ht="13.5" customHeight="1">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row>
    <row r="454" ht="13.5" customHeight="1">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row>
    <row r="455" ht="13.5" customHeight="1">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row>
    <row r="456" ht="13.5" customHeight="1">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row>
    <row r="457" ht="13.5" customHeight="1">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row>
    <row r="458" ht="13.5" customHeight="1">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row>
    <row r="459" ht="13.5" customHeight="1">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row>
    <row r="460" ht="13.5" customHeight="1">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row>
    <row r="461" ht="13.5" customHeight="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row>
    <row r="462" ht="13.5" customHeight="1">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row>
    <row r="463" ht="13.5" customHeight="1">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row>
    <row r="464" ht="13.5" customHeight="1">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row>
    <row r="465" ht="13.5" customHeight="1">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row>
    <row r="466" ht="13.5" customHeight="1">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row>
    <row r="467" ht="13.5" customHeight="1">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row>
    <row r="468" ht="13.5" customHeight="1">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row>
    <row r="469" ht="13.5" customHeight="1">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row>
    <row r="470" ht="13.5" customHeight="1">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row>
    <row r="471" ht="13.5" customHeight="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row>
    <row r="472" ht="13.5" customHeight="1">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row>
    <row r="473" ht="13.5" customHeight="1">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row>
    <row r="474" ht="13.5" customHeight="1">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row>
    <row r="475" ht="13.5" customHeight="1">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row>
    <row r="476" ht="13.5" customHeight="1">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row>
    <row r="477" ht="13.5" customHeight="1">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row>
    <row r="478" ht="13.5" customHeight="1">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row>
    <row r="479" ht="13.5" customHeight="1">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row>
    <row r="480" ht="13.5" customHeight="1">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row>
    <row r="481" ht="13.5" customHeight="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row>
    <row r="482" ht="13.5" customHeight="1">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row>
    <row r="483" ht="13.5" customHeight="1">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row>
    <row r="484" ht="13.5" customHeight="1">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row>
    <row r="485" ht="13.5" customHeight="1">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row>
    <row r="486" ht="13.5" customHeight="1">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row>
    <row r="487" ht="13.5" customHeight="1">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row>
    <row r="488" ht="13.5" customHeight="1">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row>
    <row r="489" ht="13.5" customHeight="1">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row>
    <row r="490" ht="13.5" customHeight="1">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row>
    <row r="491" ht="13.5" customHeight="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row>
    <row r="492" ht="13.5" customHeight="1">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row>
    <row r="493" ht="13.5" customHeight="1">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row>
    <row r="494" ht="13.5" customHeight="1">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row>
    <row r="495" ht="13.5" customHeight="1">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row>
    <row r="496" ht="13.5" customHeight="1">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row>
    <row r="497" ht="13.5" customHeight="1">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row>
    <row r="498" ht="13.5" customHeight="1">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row>
    <row r="499" ht="13.5" customHeight="1">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row>
    <row r="500" ht="13.5" customHeight="1">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row>
    <row r="501" ht="13.5" customHeight="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row>
    <row r="502" ht="13.5" customHeight="1">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row>
    <row r="503" ht="13.5" customHeight="1">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row>
    <row r="504" ht="13.5" customHeight="1">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row>
    <row r="505" ht="13.5" customHeight="1">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row>
    <row r="506" ht="13.5" customHeight="1">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row>
    <row r="507" ht="13.5" customHeight="1">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row>
    <row r="508" ht="13.5" customHeight="1">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row>
    <row r="509" ht="13.5" customHeight="1">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row>
    <row r="510" ht="13.5" customHeight="1">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row>
    <row r="511" ht="13.5" customHeight="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row>
    <row r="512" ht="13.5" customHeight="1">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row>
    <row r="513" ht="13.5" customHeight="1">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row>
    <row r="514" ht="13.5" customHeight="1">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row>
    <row r="515" ht="13.5" customHeight="1">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row>
    <row r="516" ht="13.5" customHeight="1">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row>
    <row r="517" ht="13.5" customHeight="1">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row>
    <row r="518" ht="13.5" customHeight="1">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row>
    <row r="519" ht="13.5" customHeight="1">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row>
    <row r="520" ht="13.5" customHeight="1">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row>
    <row r="521" ht="13.5" customHeight="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row>
    <row r="522" ht="13.5" customHeight="1">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row>
    <row r="523" ht="13.5" customHeight="1">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row>
    <row r="524" ht="13.5" customHeight="1">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row>
    <row r="525" ht="13.5" customHeight="1">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row>
    <row r="526" ht="13.5" customHeight="1">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row>
    <row r="527" ht="13.5" customHeight="1">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row>
    <row r="528" ht="13.5" customHeight="1">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row>
    <row r="529" ht="13.5" customHeight="1">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row>
    <row r="530" ht="13.5" customHeight="1">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row>
    <row r="531" ht="13.5" customHeight="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row>
    <row r="532" ht="13.5" customHeight="1">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row>
    <row r="533" ht="13.5" customHeight="1">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row>
    <row r="534" ht="13.5" customHeight="1">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row>
    <row r="535" ht="13.5" customHeight="1">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row>
    <row r="536" ht="13.5" customHeight="1">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row>
    <row r="537" ht="13.5" customHeight="1">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row>
    <row r="538" ht="13.5" customHeight="1">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row>
    <row r="539" ht="13.5" customHeight="1">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row>
    <row r="540" ht="13.5" customHeight="1">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row>
    <row r="541" ht="13.5" customHeight="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row>
    <row r="542" ht="13.5" customHeight="1">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row>
    <row r="543" ht="13.5" customHeight="1">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row>
    <row r="544" ht="13.5" customHeight="1">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row>
    <row r="545" ht="13.5" customHeight="1">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row>
    <row r="546" ht="13.5" customHeight="1">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row>
    <row r="547" ht="13.5" customHeight="1">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row>
    <row r="548" ht="13.5" customHeight="1">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row>
    <row r="549" ht="13.5" customHeight="1">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row>
    <row r="550" ht="13.5" customHeight="1">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row>
    <row r="551" ht="13.5" customHeight="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row>
    <row r="552" ht="13.5" customHeight="1">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row>
    <row r="553" ht="13.5" customHeight="1">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row>
    <row r="554" ht="13.5" customHeight="1">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row>
    <row r="555" ht="13.5" customHeight="1">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row>
    <row r="556" ht="13.5" customHeight="1">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row>
    <row r="557" ht="13.5" customHeight="1">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row>
    <row r="558" ht="13.5" customHeight="1">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row>
    <row r="559" ht="13.5" customHeight="1">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row>
    <row r="560" ht="13.5" customHeight="1">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row>
    <row r="561" ht="13.5" customHeight="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row>
    <row r="562" ht="13.5" customHeight="1">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row>
    <row r="563" ht="13.5" customHeight="1">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row>
    <row r="564" ht="13.5" customHeight="1">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row>
    <row r="565" ht="13.5" customHeight="1">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row>
    <row r="566" ht="13.5" customHeight="1">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row>
    <row r="567" ht="13.5" customHeight="1">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row>
    <row r="568" ht="13.5" customHeight="1">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row>
    <row r="569" ht="13.5" customHeight="1">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row>
    <row r="570" ht="13.5" customHeight="1">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row>
    <row r="571" ht="13.5" customHeight="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row>
    <row r="572" ht="13.5" customHeight="1">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row>
    <row r="573" ht="13.5" customHeight="1">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row>
    <row r="574" ht="13.5" customHeight="1">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row>
    <row r="575" ht="13.5" customHeight="1">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row>
    <row r="576" ht="13.5" customHeight="1">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row>
    <row r="577" ht="13.5" customHeight="1">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row>
    <row r="578" ht="13.5" customHeight="1">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row>
    <row r="579" ht="13.5" customHeight="1">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row>
    <row r="580" ht="13.5" customHeight="1">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row>
    <row r="581" ht="13.5" customHeight="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row>
    <row r="582" ht="13.5" customHeight="1">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row>
    <row r="583" ht="13.5" customHeight="1">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row>
    <row r="584" ht="13.5" customHeight="1">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row>
    <row r="585" ht="13.5" customHeight="1">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row>
    <row r="586" ht="13.5" customHeight="1">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row>
    <row r="587" ht="13.5" customHeight="1">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row>
    <row r="588" ht="13.5" customHeight="1">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row>
    <row r="589" ht="13.5" customHeight="1">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row>
    <row r="590" ht="13.5" customHeight="1">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row>
    <row r="591" ht="13.5" customHeight="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row>
    <row r="592" ht="13.5" customHeight="1">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row>
    <row r="593" ht="13.5" customHeight="1">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row>
    <row r="594" ht="13.5" customHeight="1">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row>
    <row r="595" ht="13.5" customHeight="1">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row>
    <row r="596" ht="13.5" customHeight="1">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row>
    <row r="597" ht="13.5" customHeight="1">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row>
    <row r="598" ht="13.5" customHeight="1">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row>
    <row r="599" ht="13.5" customHeight="1">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row>
    <row r="600" ht="13.5" customHeight="1">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row>
    <row r="601" ht="13.5" customHeight="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row>
    <row r="602" ht="13.5" customHeight="1">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row>
    <row r="603" ht="13.5" customHeight="1">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row>
    <row r="604" ht="13.5" customHeight="1">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row>
    <row r="605" ht="13.5" customHeight="1">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row>
    <row r="606" ht="13.5" customHeight="1">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row>
    <row r="607" ht="13.5" customHeight="1">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row>
    <row r="608" ht="13.5" customHeight="1">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row>
    <row r="609" ht="13.5" customHeight="1">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row>
    <row r="610" ht="13.5" customHeight="1">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row>
    <row r="611" ht="13.5" customHeight="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row>
    <row r="612" ht="13.5" customHeight="1">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row>
    <row r="613" ht="13.5" customHeight="1">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row>
    <row r="614" ht="13.5" customHeight="1">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row>
    <row r="615" ht="13.5" customHeight="1">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row>
    <row r="616" ht="13.5" customHeight="1">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row>
    <row r="617" ht="13.5" customHeight="1">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row>
    <row r="618" ht="13.5" customHeight="1">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row>
    <row r="619" ht="13.5" customHeight="1">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row>
    <row r="620" ht="13.5" customHeight="1">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row>
    <row r="621" ht="13.5" customHeight="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row>
    <row r="622" ht="13.5" customHeight="1">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row>
    <row r="623" ht="13.5" customHeight="1">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row>
    <row r="624" ht="13.5" customHeight="1">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row>
    <row r="625" ht="13.5" customHeight="1">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row>
    <row r="626" ht="13.5" customHeight="1">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row>
    <row r="627" ht="13.5" customHeight="1">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row>
    <row r="628" ht="13.5" customHeight="1">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row>
    <row r="629" ht="13.5" customHeight="1">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row>
    <row r="630" ht="13.5" customHeight="1">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row>
    <row r="631" ht="13.5" customHeight="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row>
    <row r="632" ht="13.5" customHeight="1">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row>
    <row r="633" ht="13.5" customHeight="1">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row>
    <row r="634" ht="13.5" customHeight="1">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row>
    <row r="635" ht="13.5" customHeight="1">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row>
    <row r="636" ht="13.5" customHeight="1">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row>
    <row r="637" ht="13.5" customHeight="1">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row>
    <row r="638" ht="13.5" customHeight="1">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row>
    <row r="639" ht="13.5" customHeight="1">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row>
    <row r="640" ht="13.5" customHeight="1">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row>
    <row r="641" ht="13.5" customHeight="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row>
    <row r="642" ht="13.5" customHeight="1">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row>
    <row r="643" ht="13.5" customHeight="1">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row>
    <row r="644" ht="13.5" customHeight="1">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row>
    <row r="645" ht="13.5" customHeight="1">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row>
    <row r="646" ht="13.5" customHeight="1">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row>
    <row r="647" ht="13.5" customHeight="1">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row>
    <row r="648" ht="13.5" customHeight="1">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row>
    <row r="649" ht="13.5" customHeight="1">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row>
    <row r="650" ht="13.5" customHeight="1">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row>
    <row r="651" ht="13.5" customHeight="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row>
    <row r="652" ht="13.5" customHeight="1">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row>
    <row r="653" ht="13.5" customHeight="1">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row>
    <row r="654" ht="13.5" customHeight="1">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row>
    <row r="655" ht="13.5" customHeight="1">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row>
    <row r="656" ht="13.5" customHeight="1">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row>
    <row r="657" ht="13.5" customHeight="1">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row>
    <row r="658" ht="13.5" customHeight="1">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row>
    <row r="659" ht="13.5" customHeight="1">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row>
    <row r="660" ht="13.5" customHeight="1">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row>
    <row r="661" ht="13.5" customHeight="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row>
    <row r="662" ht="13.5" customHeight="1">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row>
    <row r="663" ht="13.5" customHeight="1">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row>
    <row r="664" ht="13.5" customHeight="1">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row>
    <row r="665" ht="13.5" customHeight="1">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row>
    <row r="666" ht="13.5" customHeight="1">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row>
    <row r="667" ht="13.5" customHeight="1">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row>
    <row r="668" ht="13.5" customHeight="1">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row>
    <row r="669" ht="13.5" customHeight="1">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row>
    <row r="670" ht="13.5" customHeight="1">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row>
    <row r="671" ht="13.5" customHeight="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row>
    <row r="672" ht="13.5" customHeight="1">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row>
    <row r="673" ht="13.5" customHeight="1">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row>
    <row r="674" ht="13.5" customHeight="1">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row>
    <row r="675" ht="13.5" customHeight="1">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row>
    <row r="676" ht="13.5" customHeight="1">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row>
    <row r="677" ht="13.5" customHeight="1">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row>
    <row r="678" ht="13.5" customHeight="1">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row>
    <row r="679" ht="13.5" customHeight="1">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row>
    <row r="680" ht="13.5" customHeight="1">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row>
    <row r="681" ht="13.5" customHeight="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row>
    <row r="682" ht="13.5" customHeight="1">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row>
    <row r="683" ht="13.5" customHeight="1">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row>
    <row r="684" ht="13.5" customHeight="1">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row>
    <row r="685" ht="13.5" customHeight="1">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row>
    <row r="686" ht="13.5" customHeight="1">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row>
    <row r="687" ht="13.5" customHeight="1">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row>
    <row r="688" ht="13.5" customHeight="1">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row>
    <row r="689" ht="13.5" customHeight="1">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row>
    <row r="690" ht="13.5" customHeight="1">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row>
    <row r="691" ht="13.5" customHeight="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row>
    <row r="692" ht="13.5" customHeight="1">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row>
    <row r="693" ht="13.5" customHeight="1">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row>
    <row r="694" ht="13.5" customHeight="1">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row>
    <row r="695" ht="13.5" customHeight="1">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row>
    <row r="696" ht="13.5" customHeight="1">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row>
    <row r="697" ht="13.5" customHeight="1">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row>
    <row r="698" ht="13.5" customHeight="1">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row>
    <row r="699" ht="13.5" customHeight="1">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row>
    <row r="700" ht="13.5" customHeight="1">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row>
    <row r="701" ht="13.5" customHeight="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row>
    <row r="702" ht="13.5" customHeight="1">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row>
    <row r="703" ht="13.5" customHeight="1">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row>
    <row r="704" ht="13.5" customHeight="1">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row>
    <row r="705" ht="13.5" customHeight="1">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row>
    <row r="706" ht="13.5" customHeight="1">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row>
    <row r="707" ht="13.5" customHeight="1">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row>
    <row r="708" ht="13.5" customHeight="1">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row>
    <row r="709" ht="13.5" customHeight="1">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row>
    <row r="710" ht="13.5" customHeight="1">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row>
    <row r="711" ht="13.5" customHeight="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row>
    <row r="712" ht="13.5" customHeight="1">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row>
    <row r="713" ht="13.5" customHeight="1">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row>
    <row r="714" ht="13.5" customHeight="1">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row>
    <row r="715" ht="13.5" customHeight="1">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row>
    <row r="716" ht="13.5" customHeight="1">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row>
    <row r="717" ht="13.5" customHeight="1">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row>
    <row r="718" ht="13.5" customHeight="1">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row>
    <row r="719" ht="13.5" customHeight="1">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row>
    <row r="720" ht="13.5" customHeight="1">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row>
    <row r="721" ht="13.5" customHeight="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row>
    <row r="722" ht="13.5" customHeight="1">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row>
    <row r="723" ht="13.5" customHeight="1">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row>
    <row r="724" ht="13.5" customHeight="1">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row>
    <row r="725" ht="13.5" customHeight="1">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row>
    <row r="726" ht="13.5" customHeight="1">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row>
    <row r="727" ht="13.5" customHeight="1">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row>
    <row r="728" ht="13.5" customHeight="1">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row>
    <row r="729" ht="13.5" customHeight="1">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row>
    <row r="730" ht="13.5" customHeight="1">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row>
    <row r="731" ht="13.5" customHeight="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row>
    <row r="732" ht="13.5" customHeight="1">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row>
    <row r="733" ht="13.5" customHeight="1">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row>
    <row r="734" ht="13.5" customHeight="1">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row>
    <row r="735" ht="13.5" customHeight="1">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row>
    <row r="736" ht="13.5" customHeight="1">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row>
    <row r="737" ht="13.5" customHeight="1">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row>
    <row r="738" ht="13.5" customHeight="1">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row>
    <row r="739" ht="13.5" customHeight="1">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row>
    <row r="740" ht="13.5" customHeight="1">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row>
    <row r="741" ht="13.5" customHeight="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row>
    <row r="742" ht="13.5" customHeight="1">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row>
    <row r="743" ht="13.5" customHeight="1">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row>
    <row r="744" ht="13.5" customHeight="1">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row>
    <row r="745" ht="13.5" customHeight="1">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row>
    <row r="746" ht="13.5" customHeight="1">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row>
    <row r="747" ht="13.5" customHeight="1">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row>
    <row r="748" ht="13.5" customHeight="1">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row>
    <row r="749" ht="13.5" customHeight="1">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row>
    <row r="750" ht="13.5" customHeight="1">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row>
    <row r="751" ht="13.5" customHeight="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row>
    <row r="752" ht="13.5" customHeight="1">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row>
    <row r="753" ht="13.5" customHeight="1">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row>
    <row r="754" ht="13.5" customHeight="1">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row>
    <row r="755" ht="13.5" customHeight="1">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row>
    <row r="756" ht="13.5" customHeight="1">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row>
    <row r="757" ht="13.5" customHeight="1">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row>
    <row r="758" ht="13.5" customHeight="1">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row>
    <row r="759" ht="13.5" customHeight="1">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row>
    <row r="760" ht="13.5" customHeight="1">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row>
    <row r="761" ht="13.5" customHeight="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row>
    <row r="762" ht="13.5" customHeight="1">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row>
    <row r="763" ht="13.5" customHeight="1">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row>
    <row r="764" ht="13.5" customHeight="1">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row>
    <row r="765" ht="13.5" customHeight="1">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row>
    <row r="766" ht="13.5" customHeight="1">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row>
    <row r="767" ht="13.5" customHeight="1">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row>
    <row r="768" ht="13.5" customHeight="1">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row>
    <row r="769" ht="13.5" customHeight="1">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row>
    <row r="770" ht="13.5" customHeight="1">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row>
    <row r="771" ht="13.5" customHeight="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row>
    <row r="772" ht="13.5" customHeight="1">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row>
    <row r="773" ht="13.5" customHeight="1">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row>
    <row r="774" ht="13.5" customHeight="1">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row>
    <row r="775" ht="13.5" customHeight="1">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row>
    <row r="776" ht="13.5" customHeight="1">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row>
    <row r="777" ht="13.5" customHeight="1">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row>
    <row r="778" ht="13.5" customHeight="1">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row>
    <row r="779" ht="13.5" customHeight="1">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row>
    <row r="780" ht="13.5" customHeight="1">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row>
    <row r="781" ht="13.5" customHeight="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row>
    <row r="782" ht="13.5" customHeight="1">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row>
    <row r="783" ht="13.5" customHeight="1">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row>
    <row r="784" ht="13.5" customHeight="1">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row>
    <row r="785" ht="13.5" customHeight="1">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row>
    <row r="786" ht="13.5" customHeight="1">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row>
    <row r="787" ht="13.5" customHeight="1">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row>
    <row r="788" ht="13.5" customHeight="1">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row>
    <row r="789" ht="13.5" customHeight="1">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row>
    <row r="790" ht="13.5" customHeight="1">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row>
    <row r="791" ht="13.5" customHeight="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row>
    <row r="792" ht="13.5" customHeight="1">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row>
    <row r="793" ht="13.5" customHeight="1">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row>
    <row r="794" ht="13.5" customHeight="1">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row>
    <row r="795" ht="13.5" customHeight="1">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row>
    <row r="796" ht="13.5" customHeight="1">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row>
    <row r="797" ht="13.5" customHeight="1">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row>
    <row r="798" ht="13.5" customHeight="1">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row>
    <row r="799" ht="13.5" customHeight="1">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row>
    <row r="800" ht="13.5" customHeight="1">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row>
    <row r="801" ht="13.5" customHeight="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row>
    <row r="802" ht="13.5" customHeight="1">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row>
    <row r="803" ht="13.5" customHeight="1">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row>
    <row r="804" ht="13.5" customHeight="1">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row>
    <row r="805" ht="13.5" customHeight="1">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row>
    <row r="806" ht="13.5" customHeight="1">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row>
    <row r="807" ht="13.5" customHeight="1">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row>
    <row r="808" ht="13.5" customHeight="1">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row>
    <row r="809" ht="13.5" customHeight="1">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row>
    <row r="810" ht="13.5" customHeight="1">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row>
    <row r="811" ht="13.5" customHeight="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row>
    <row r="812" ht="13.5" customHeight="1">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row>
    <row r="813" ht="13.5" customHeight="1">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row>
    <row r="814" ht="13.5" customHeight="1">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row>
    <row r="815" ht="13.5" customHeight="1">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row>
    <row r="816" ht="13.5" customHeight="1">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row>
    <row r="817" ht="13.5" customHeight="1">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row>
    <row r="818" ht="13.5" customHeight="1">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row>
    <row r="819" ht="13.5" customHeight="1">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row>
    <row r="820" ht="13.5" customHeight="1">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row>
    <row r="821" ht="13.5" customHeight="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row>
    <row r="822" ht="13.5" customHeight="1">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row>
    <row r="823" ht="13.5" customHeight="1">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row>
    <row r="824" ht="13.5" customHeight="1">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row>
    <row r="825" ht="13.5" customHeight="1">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row>
    <row r="826" ht="13.5" customHeight="1">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row>
    <row r="827" ht="13.5" customHeight="1">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row>
    <row r="828" ht="13.5" customHeight="1">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row>
    <row r="829" ht="13.5" customHeight="1">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row>
    <row r="830" ht="13.5" customHeight="1">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row>
    <row r="831" ht="13.5" customHeight="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row>
    <row r="832" ht="13.5" customHeight="1">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row>
    <row r="833" ht="13.5" customHeight="1">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row>
    <row r="834" ht="13.5" customHeight="1">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row>
    <row r="835" ht="13.5" customHeight="1">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row>
    <row r="836" ht="13.5" customHeight="1">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row>
    <row r="837" ht="13.5" customHeight="1">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row>
    <row r="838" ht="13.5" customHeight="1">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row>
    <row r="839" ht="13.5" customHeight="1">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row>
    <row r="840" ht="13.5" customHeight="1">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row>
    <row r="841" ht="13.5" customHeight="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row>
    <row r="842" ht="13.5" customHeight="1">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row>
    <row r="843" ht="13.5" customHeight="1">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row>
    <row r="844" ht="13.5" customHeight="1">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row>
    <row r="845" ht="13.5" customHeight="1">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row>
    <row r="846" ht="13.5" customHeight="1">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row>
    <row r="847" ht="13.5" customHeight="1">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row>
    <row r="848" ht="13.5" customHeight="1">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row>
    <row r="849" ht="13.5" customHeight="1">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row>
    <row r="850" ht="13.5" customHeight="1">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row>
    <row r="851" ht="13.5" customHeight="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row>
    <row r="852" ht="13.5" customHeight="1">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row>
    <row r="853" ht="13.5" customHeight="1">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row>
    <row r="854" ht="13.5" customHeight="1">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row>
    <row r="855" ht="13.5" customHeight="1">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row>
    <row r="856" ht="13.5" customHeight="1">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row>
    <row r="857" ht="13.5" customHeight="1">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row>
    <row r="858" ht="13.5" customHeight="1">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row>
    <row r="859" ht="13.5" customHeight="1">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row>
    <row r="860" ht="13.5" customHeight="1">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row>
    <row r="861" ht="13.5" customHeight="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row>
    <row r="862" ht="13.5" customHeight="1">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row>
    <row r="863" ht="13.5" customHeight="1">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row>
    <row r="864" ht="13.5" customHeight="1">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row>
    <row r="865" ht="13.5" customHeight="1">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row>
    <row r="866" ht="13.5" customHeight="1">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row>
    <row r="867" ht="13.5" customHeight="1">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row>
    <row r="868" ht="13.5" customHeight="1">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row>
    <row r="869" ht="13.5" customHeight="1">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row>
    <row r="870" ht="13.5" customHeight="1">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row>
    <row r="871" ht="13.5" customHeight="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row>
    <row r="872" ht="13.5" customHeight="1">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row>
    <row r="873" ht="13.5" customHeight="1">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row>
    <row r="874" ht="13.5" customHeight="1">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row>
    <row r="875" ht="13.5" customHeight="1">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row>
    <row r="876" ht="13.5" customHeight="1">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row>
    <row r="877" ht="13.5" customHeight="1">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row>
    <row r="878" ht="13.5" customHeight="1">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row>
    <row r="879" ht="13.5" customHeight="1">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row>
    <row r="880" ht="13.5" customHeight="1">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row>
    <row r="881" ht="13.5" customHeight="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row>
    <row r="882" ht="13.5" customHeight="1">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row>
    <row r="883" ht="13.5" customHeight="1">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row>
    <row r="884" ht="13.5" customHeight="1">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row>
    <row r="885" ht="13.5" customHeight="1">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row>
    <row r="886" ht="13.5" customHeight="1">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row>
    <row r="887" ht="13.5" customHeight="1">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row>
    <row r="888" ht="13.5" customHeight="1">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row>
    <row r="889" ht="13.5" customHeight="1">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row>
    <row r="890" ht="13.5" customHeight="1">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row>
    <row r="891" ht="13.5" customHeight="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row>
    <row r="892" ht="13.5" customHeight="1">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row>
    <row r="893" ht="13.5" customHeight="1">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row>
    <row r="894" ht="13.5" customHeight="1">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row>
    <row r="895" ht="13.5" customHeight="1">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row>
    <row r="896" ht="13.5" customHeight="1">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row>
    <row r="897" ht="13.5" customHeight="1">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row>
    <row r="898" ht="13.5" customHeight="1">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row>
    <row r="899" ht="13.5" customHeight="1">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row>
    <row r="900" ht="13.5" customHeight="1">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row>
    <row r="901" ht="13.5" customHeight="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row>
    <row r="902" ht="13.5" customHeight="1">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row>
    <row r="903" ht="13.5" customHeight="1">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row>
    <row r="904" ht="13.5" customHeight="1">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row>
    <row r="905" ht="13.5" customHeight="1">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row>
    <row r="906" ht="13.5" customHeight="1">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row>
    <row r="907" ht="13.5" customHeight="1">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row>
    <row r="908" ht="13.5" customHeight="1">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row>
    <row r="909" ht="13.5" customHeight="1">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row>
    <row r="910" ht="13.5" customHeight="1">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row>
    <row r="911" ht="13.5" customHeight="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row>
    <row r="912" ht="13.5" customHeight="1">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row>
    <row r="913" ht="13.5" customHeight="1">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row>
    <row r="914" ht="13.5" customHeight="1">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row>
    <row r="915" ht="13.5" customHeight="1">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row>
    <row r="916" ht="13.5" customHeight="1">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row>
    <row r="917" ht="13.5" customHeight="1">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row>
    <row r="918" ht="13.5" customHeight="1">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row>
    <row r="919" ht="13.5" customHeight="1">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row>
    <row r="920" ht="13.5" customHeight="1">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row>
    <row r="921" ht="13.5" customHeight="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row>
    <row r="922" ht="13.5" customHeight="1">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row>
    <row r="923" ht="13.5" customHeight="1">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row>
    <row r="924" ht="13.5" customHeight="1">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row>
    <row r="925" ht="13.5" customHeight="1">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row>
    <row r="926" ht="13.5" customHeight="1">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row>
    <row r="927" ht="13.5" customHeight="1">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row>
    <row r="928" ht="13.5" customHeight="1">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row>
    <row r="929" ht="13.5" customHeight="1">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row>
    <row r="930" ht="13.5" customHeight="1">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row>
    <row r="931" ht="13.5" customHeight="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row>
    <row r="932" ht="13.5" customHeight="1">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row>
    <row r="933" ht="13.5" customHeight="1">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row>
    <row r="934" ht="13.5" customHeight="1">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row>
    <row r="935" ht="13.5" customHeight="1">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row>
    <row r="936" ht="13.5" customHeight="1">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row>
    <row r="937" ht="13.5" customHeight="1">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row>
    <row r="938" ht="13.5" customHeight="1">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row>
    <row r="939" ht="13.5" customHeight="1">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row>
    <row r="940" ht="13.5" customHeight="1">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row>
    <row r="941" ht="13.5" customHeight="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row>
    <row r="942" ht="13.5" customHeight="1">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row>
    <row r="943" ht="13.5" customHeight="1">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row>
    <row r="944" ht="13.5" customHeight="1">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row>
    <row r="945" ht="13.5" customHeight="1">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row>
    <row r="946" ht="13.5" customHeight="1">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row>
    <row r="947" ht="13.5" customHeight="1">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row>
    <row r="948" ht="13.5" customHeight="1">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row>
    <row r="949" ht="13.5" customHeight="1">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row>
    <row r="950" ht="13.5" customHeight="1">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row>
    <row r="951" ht="13.5" customHeight="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row>
    <row r="952" ht="13.5" customHeight="1">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row>
    <row r="953" ht="13.5" customHeight="1">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row>
    <row r="954" ht="13.5" customHeight="1">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row>
    <row r="955" ht="13.5" customHeight="1">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row>
    <row r="956" ht="13.5" customHeight="1">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row>
    <row r="957" ht="13.5" customHeight="1">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row>
    <row r="958" ht="13.5" customHeight="1">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row>
    <row r="959" ht="13.5" customHeight="1">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row>
    <row r="960" ht="13.5" customHeight="1">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row>
    <row r="961" ht="13.5" customHeight="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row>
    <row r="962" ht="13.5" customHeight="1">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row>
    <row r="963" ht="13.5" customHeight="1">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row>
    <row r="964" ht="13.5" customHeight="1">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row>
    <row r="965" ht="13.5" customHeight="1">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row>
    <row r="966" ht="13.5" customHeight="1">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row>
    <row r="967" ht="13.5" customHeight="1">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row>
    <row r="968" ht="13.5" customHeight="1">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row>
    <row r="969" ht="13.5" customHeight="1">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row>
    <row r="970" ht="13.5" customHeight="1">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row>
    <row r="971" ht="13.5" customHeight="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row>
    <row r="972" ht="13.5" customHeight="1">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row>
    <row r="973" ht="13.5" customHeight="1">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row>
    <row r="974" ht="13.5" customHeight="1">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row>
    <row r="975" ht="13.5" customHeight="1">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row>
    <row r="976" ht="13.5" customHeight="1">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row>
    <row r="977" ht="13.5" customHeight="1">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row>
    <row r="978" ht="13.5" customHeight="1">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row>
    <row r="979" ht="13.5" customHeight="1">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row>
    <row r="980" ht="13.5" customHeight="1">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row>
    <row r="981" ht="13.5" customHeight="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row>
    <row r="982" ht="13.5" customHeight="1">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row>
    <row r="983" ht="13.5" customHeight="1">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row>
    <row r="984" ht="13.5" customHeight="1">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row>
    <row r="985" ht="13.5" customHeight="1">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row>
    <row r="986" ht="13.5" customHeight="1">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row>
    <row r="987" ht="13.5" customHeight="1">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row>
    <row r="988" ht="13.5" customHeight="1">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row>
    <row r="989" ht="13.5" customHeight="1">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row>
    <row r="990" ht="13.5" customHeight="1">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row>
    <row r="991" ht="13.5" customHeight="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row>
    <row r="992" ht="13.5" customHeight="1">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row>
    <row r="993" ht="13.5" customHeight="1">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row>
    <row r="994" ht="13.5" customHeight="1">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row>
    <row r="995" ht="13.5" customHeight="1">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row>
    <row r="996" ht="13.5" customHeight="1">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row>
    <row r="997" ht="13.5" customHeight="1">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row>
    <row r="998" ht="13.5" customHeight="1">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row>
    <row r="999" ht="13.5" customHeight="1">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row>
    <row r="1000" ht="13.5" customHeight="1">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c r="AB1000" s="124"/>
    </row>
  </sheetData>
  <mergeCells count="2">
    <mergeCell ref="E2:J4"/>
    <mergeCell ref="W4:AA5"/>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13.86"/>
    <col customWidth="1" min="4" max="4" width="26.86"/>
    <col customWidth="1" min="5" max="5" width="15.86"/>
    <col customWidth="1" min="6" max="6" width="20.71"/>
    <col customWidth="1" min="7" max="7" width="32.71"/>
    <col customWidth="1" min="8" max="8" width="29.43"/>
    <col customWidth="1" min="9" max="9" width="22.14"/>
    <col customWidth="1" min="10" max="10" width="14.57"/>
    <col customWidth="1" min="11" max="13" width="8.86"/>
    <col customWidth="1" min="14" max="14" width="28.86"/>
    <col customWidth="1" min="15" max="15" width="20.57"/>
    <col customWidth="1" min="16" max="16" width="24.86"/>
    <col customWidth="1" min="17" max="17" width="15.86"/>
    <col customWidth="1" min="18" max="23" width="8.86"/>
    <col customWidth="1" min="24" max="24" width="14.0"/>
    <col customWidth="1" min="25" max="25" width="17.86"/>
    <col customWidth="1" min="26" max="26" width="15.57"/>
    <col customWidth="1" min="27" max="27" width="17.57"/>
    <col customWidth="1" min="28" max="28" width="16.43"/>
  </cols>
  <sheetData>
    <row r="1" ht="13.5" customHeight="1">
      <c r="A1" s="124"/>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row>
    <row r="2" ht="13.5" customHeight="1">
      <c r="A2" s="124"/>
      <c r="B2" s="124"/>
      <c r="C2" s="124"/>
      <c r="D2" s="124"/>
      <c r="E2" s="150" t="s">
        <v>805</v>
      </c>
      <c r="F2" s="79"/>
      <c r="G2" s="79"/>
      <c r="H2" s="79"/>
      <c r="I2" s="79"/>
      <c r="J2" s="80"/>
      <c r="K2" s="124"/>
      <c r="L2" s="124"/>
      <c r="M2" s="124"/>
      <c r="N2" s="124"/>
      <c r="O2" s="124"/>
      <c r="P2" s="124"/>
      <c r="Q2" s="124"/>
      <c r="R2" s="124"/>
      <c r="S2" s="124"/>
      <c r="T2" s="124"/>
      <c r="U2" s="124"/>
      <c r="V2" s="124"/>
      <c r="W2" s="124"/>
      <c r="X2" s="124"/>
      <c r="Y2" s="124"/>
      <c r="Z2" s="124"/>
      <c r="AA2" s="124"/>
      <c r="AB2" s="124"/>
    </row>
    <row r="3" ht="13.5" customHeight="1">
      <c r="A3" s="124"/>
      <c r="B3" s="124"/>
      <c r="C3" s="124"/>
      <c r="D3" s="124"/>
      <c r="E3" s="81"/>
      <c r="J3" s="82"/>
      <c r="K3" s="124"/>
      <c r="L3" s="124"/>
      <c r="M3" s="124"/>
      <c r="N3" s="124"/>
      <c r="O3" s="124"/>
      <c r="P3" s="124"/>
      <c r="Q3" s="124"/>
      <c r="R3" s="124"/>
      <c r="S3" s="124"/>
      <c r="T3" s="124"/>
      <c r="U3" s="124"/>
      <c r="V3" s="124"/>
      <c r="W3" s="124"/>
      <c r="X3" s="124"/>
      <c r="Y3" s="124"/>
      <c r="Z3" s="124"/>
      <c r="AA3" s="124"/>
      <c r="AB3" s="124"/>
    </row>
    <row r="4" ht="13.5" customHeight="1">
      <c r="A4" s="124"/>
      <c r="B4" s="124"/>
      <c r="C4" s="124"/>
      <c r="D4" s="124"/>
      <c r="E4" s="83"/>
      <c r="F4" s="84"/>
      <c r="G4" s="84"/>
      <c r="H4" s="84"/>
      <c r="I4" s="84"/>
      <c r="J4" s="85"/>
      <c r="K4" s="124"/>
      <c r="L4" s="124"/>
      <c r="M4" s="124"/>
      <c r="N4" s="124"/>
      <c r="O4" s="124"/>
      <c r="P4" s="124"/>
      <c r="Q4" s="124"/>
      <c r="R4" s="124"/>
      <c r="S4" s="124"/>
      <c r="T4" s="124"/>
      <c r="U4" s="124"/>
      <c r="V4" s="124"/>
      <c r="W4" s="86" t="s">
        <v>615</v>
      </c>
      <c r="X4" s="79"/>
      <c r="Y4" s="79"/>
      <c r="Z4" s="79"/>
      <c r="AA4" s="80"/>
      <c r="AB4" s="124"/>
    </row>
    <row r="5" ht="13.5" customHeight="1">
      <c r="A5" s="124"/>
      <c r="B5" s="124"/>
      <c r="C5" s="124"/>
      <c r="D5" s="124"/>
      <c r="E5" s="124"/>
      <c r="F5" s="124"/>
      <c r="G5" s="124"/>
      <c r="H5" s="124"/>
      <c r="I5" s="124"/>
      <c r="J5" s="124"/>
      <c r="K5" s="124"/>
      <c r="L5" s="124"/>
      <c r="M5" s="124"/>
      <c r="N5" s="124"/>
      <c r="O5" s="124"/>
      <c r="P5" s="124"/>
      <c r="Q5" s="124"/>
      <c r="R5" s="124"/>
      <c r="S5" s="124"/>
      <c r="T5" s="124"/>
      <c r="U5" s="124"/>
      <c r="V5" s="124"/>
      <c r="W5" s="83"/>
      <c r="X5" s="84"/>
      <c r="Y5" s="84"/>
      <c r="Z5" s="84"/>
      <c r="AA5" s="85"/>
      <c r="AB5" s="124"/>
    </row>
    <row r="6" ht="13.5" customHeight="1">
      <c r="A6" s="124"/>
      <c r="B6" s="124"/>
      <c r="C6" s="120" t="s">
        <v>293</v>
      </c>
      <c r="D6" s="121" t="s">
        <v>295</v>
      </c>
      <c r="E6" s="121" t="s">
        <v>296</v>
      </c>
      <c r="F6" s="121" t="s">
        <v>297</v>
      </c>
      <c r="G6" s="121" t="s">
        <v>709</v>
      </c>
      <c r="H6" s="121" t="s">
        <v>298</v>
      </c>
      <c r="I6" s="121" t="s">
        <v>299</v>
      </c>
      <c r="J6" s="121" t="s">
        <v>619</v>
      </c>
      <c r="K6" s="122" t="s">
        <v>301</v>
      </c>
      <c r="L6" s="122" t="s">
        <v>681</v>
      </c>
      <c r="M6" s="122" t="s">
        <v>682</v>
      </c>
      <c r="N6" s="122" t="s">
        <v>621</v>
      </c>
      <c r="O6" s="122" t="s">
        <v>405</v>
      </c>
      <c r="P6" s="123" t="s">
        <v>622</v>
      </c>
      <c r="Q6" s="88" t="s">
        <v>624</v>
      </c>
      <c r="R6" s="92"/>
      <c r="S6" s="92"/>
      <c r="T6" s="92"/>
      <c r="U6" s="124"/>
      <c r="V6" s="124"/>
      <c r="W6" s="162">
        <v>3597.0</v>
      </c>
      <c r="X6" s="163" t="s">
        <v>806</v>
      </c>
      <c r="Y6" s="164">
        <v>45876.0</v>
      </c>
      <c r="Z6" s="165" t="s">
        <v>56</v>
      </c>
      <c r="AA6" s="124"/>
      <c r="AB6" s="124"/>
    </row>
    <row r="7" ht="13.5" customHeight="1">
      <c r="A7" s="124"/>
      <c r="B7" s="124"/>
      <c r="C7" s="124">
        <v>1.0</v>
      </c>
      <c r="D7" s="91" t="s">
        <v>807</v>
      </c>
      <c r="E7" s="110" t="s">
        <v>355</v>
      </c>
      <c r="F7" s="110" t="s">
        <v>808</v>
      </c>
      <c r="G7" s="127">
        <v>45907.0</v>
      </c>
      <c r="H7" s="110" t="s">
        <v>809</v>
      </c>
      <c r="I7" s="153" t="s">
        <v>342</v>
      </c>
      <c r="J7" s="110">
        <v>11700.0</v>
      </c>
      <c r="K7" s="110"/>
      <c r="L7" s="110"/>
      <c r="M7" s="110"/>
      <c r="N7" s="91" t="s">
        <v>810</v>
      </c>
      <c r="O7" s="110"/>
      <c r="P7" s="110"/>
      <c r="Q7" s="91"/>
      <c r="R7" s="92"/>
      <c r="S7" s="92"/>
      <c r="T7" s="92"/>
      <c r="U7" s="124"/>
      <c r="V7" s="124"/>
      <c r="W7" s="166">
        <v>2400.0</v>
      </c>
      <c r="X7" s="91" t="s">
        <v>309</v>
      </c>
      <c r="Y7" s="167">
        <v>45937.0</v>
      </c>
      <c r="Z7" s="168" t="s">
        <v>56</v>
      </c>
      <c r="AA7" s="124"/>
      <c r="AB7" s="124"/>
    </row>
    <row r="8" ht="13.5" customHeight="1">
      <c r="A8" s="124"/>
      <c r="B8" s="124"/>
      <c r="C8" s="124">
        <v>2.0</v>
      </c>
      <c r="D8" s="91" t="s">
        <v>811</v>
      </c>
      <c r="E8" s="110" t="s">
        <v>304</v>
      </c>
      <c r="F8" s="110" t="s">
        <v>397</v>
      </c>
      <c r="G8" s="127"/>
      <c r="H8" s="110" t="s">
        <v>812</v>
      </c>
      <c r="I8" s="153" t="s">
        <v>316</v>
      </c>
      <c r="J8" s="92">
        <v>70000.0</v>
      </c>
      <c r="K8" s="145" t="s">
        <v>813</v>
      </c>
      <c r="L8" s="97"/>
      <c r="M8" s="97"/>
      <c r="N8" s="91"/>
      <c r="O8" s="110"/>
      <c r="P8" s="110"/>
      <c r="Q8" s="91"/>
      <c r="R8" s="92"/>
      <c r="S8" s="92"/>
      <c r="T8" s="92"/>
      <c r="U8" s="124"/>
      <c r="V8" s="124"/>
      <c r="W8" s="166">
        <v>2610.0</v>
      </c>
      <c r="X8" s="91" t="s">
        <v>806</v>
      </c>
      <c r="Y8" s="159" t="s">
        <v>814</v>
      </c>
      <c r="Z8" s="168" t="s">
        <v>56</v>
      </c>
      <c r="AA8" s="124"/>
      <c r="AB8" s="124"/>
    </row>
    <row r="9" ht="13.5" customHeight="1">
      <c r="A9" s="124"/>
      <c r="B9" s="124"/>
      <c r="C9" s="124">
        <v>3.0</v>
      </c>
      <c r="D9" s="91" t="s">
        <v>815</v>
      </c>
      <c r="E9" s="110" t="s">
        <v>304</v>
      </c>
      <c r="F9" s="110" t="s">
        <v>816</v>
      </c>
      <c r="G9" s="154" t="s">
        <v>817</v>
      </c>
      <c r="H9" s="110" t="s">
        <v>818</v>
      </c>
      <c r="I9" s="153" t="s">
        <v>819</v>
      </c>
      <c r="J9" s="110">
        <v>20000.0</v>
      </c>
      <c r="K9" s="110">
        <v>0.0</v>
      </c>
      <c r="L9" s="110"/>
      <c r="M9" s="110"/>
      <c r="N9" s="91" t="s">
        <v>453</v>
      </c>
      <c r="O9" s="110"/>
      <c r="P9" s="110"/>
      <c r="Q9" s="91" t="s">
        <v>453</v>
      </c>
      <c r="R9" s="92"/>
      <c r="S9" s="92"/>
      <c r="T9" s="92"/>
      <c r="U9" s="124"/>
      <c r="V9" s="124"/>
      <c r="W9" s="166">
        <v>1000.0</v>
      </c>
      <c r="X9" s="91" t="s">
        <v>820</v>
      </c>
      <c r="Y9" s="159" t="s">
        <v>814</v>
      </c>
      <c r="Z9" s="168" t="s">
        <v>355</v>
      </c>
      <c r="AA9" s="124"/>
      <c r="AB9" s="124"/>
    </row>
    <row r="10" ht="13.5" customHeight="1">
      <c r="A10" s="124"/>
      <c r="B10" s="124"/>
      <c r="C10" s="124">
        <v>4.0</v>
      </c>
      <c r="D10" s="91" t="s">
        <v>821</v>
      </c>
      <c r="E10" s="110" t="s">
        <v>355</v>
      </c>
      <c r="F10" s="110" t="s">
        <v>178</v>
      </c>
      <c r="G10" s="154" t="s">
        <v>822</v>
      </c>
      <c r="H10" s="110" t="s">
        <v>823</v>
      </c>
      <c r="I10" s="153" t="s">
        <v>824</v>
      </c>
      <c r="J10" s="110">
        <v>24300.0</v>
      </c>
      <c r="K10" s="110">
        <v>17000.0</v>
      </c>
      <c r="L10" s="110"/>
      <c r="M10" s="110"/>
      <c r="N10" s="91" t="s">
        <v>825</v>
      </c>
      <c r="O10" s="110"/>
      <c r="P10" s="110"/>
      <c r="Q10" s="91" t="s">
        <v>825</v>
      </c>
      <c r="R10" s="110"/>
      <c r="S10" s="110"/>
      <c r="T10" s="110"/>
      <c r="U10" s="124"/>
      <c r="V10" s="124"/>
      <c r="W10" s="166">
        <v>3790.0</v>
      </c>
      <c r="X10" s="91" t="s">
        <v>826</v>
      </c>
      <c r="Y10" s="159" t="s">
        <v>822</v>
      </c>
      <c r="Z10" s="168" t="s">
        <v>355</v>
      </c>
      <c r="AA10" s="124"/>
      <c r="AB10" s="124"/>
    </row>
    <row r="11" ht="13.5" customHeight="1">
      <c r="A11" s="124"/>
      <c r="B11" s="124"/>
      <c r="C11" s="124">
        <v>5.0</v>
      </c>
      <c r="D11" s="91" t="s">
        <v>827</v>
      </c>
      <c r="E11" s="91" t="s">
        <v>304</v>
      </c>
      <c r="F11" s="91" t="s">
        <v>828</v>
      </c>
      <c r="G11" s="159" t="s">
        <v>829</v>
      </c>
      <c r="H11" s="91" t="s">
        <v>830</v>
      </c>
      <c r="I11" s="160" t="s">
        <v>831</v>
      </c>
      <c r="J11" s="91">
        <v>300000.0</v>
      </c>
      <c r="K11" s="91">
        <v>50000.0</v>
      </c>
      <c r="L11" s="91"/>
      <c r="M11" s="91"/>
      <c r="N11" s="91" t="s">
        <v>832</v>
      </c>
      <c r="O11" s="110">
        <v>250000.0</v>
      </c>
      <c r="P11" s="110" t="s">
        <v>833</v>
      </c>
      <c r="Q11" s="91"/>
      <c r="R11" s="110"/>
      <c r="S11" s="110"/>
      <c r="T11" s="110"/>
      <c r="U11" s="124"/>
      <c r="V11" s="124"/>
      <c r="W11" s="166">
        <v>2000.0</v>
      </c>
      <c r="X11" s="91" t="s">
        <v>806</v>
      </c>
      <c r="Y11" s="159" t="s">
        <v>822</v>
      </c>
      <c r="Z11" s="168" t="s">
        <v>355</v>
      </c>
      <c r="AA11" s="124"/>
      <c r="AB11" s="124"/>
    </row>
    <row r="12" ht="14.25" customHeight="1">
      <c r="A12" s="124"/>
      <c r="B12" s="124"/>
      <c r="C12" s="124">
        <v>6.0</v>
      </c>
      <c r="D12" s="91" t="s">
        <v>834</v>
      </c>
      <c r="E12" s="91" t="s">
        <v>304</v>
      </c>
      <c r="F12" s="91" t="s">
        <v>335</v>
      </c>
      <c r="G12" s="159" t="s">
        <v>829</v>
      </c>
      <c r="H12" s="169" t="s">
        <v>818</v>
      </c>
      <c r="I12" s="170" t="s">
        <v>831</v>
      </c>
      <c r="J12" s="159">
        <v>60000.0</v>
      </c>
      <c r="K12" s="171">
        <v>21000.0</v>
      </c>
      <c r="L12" s="171"/>
      <c r="M12" s="171"/>
      <c r="N12" s="91" t="s">
        <v>832</v>
      </c>
      <c r="O12" s="110"/>
      <c r="P12" s="110" t="s">
        <v>835</v>
      </c>
      <c r="Q12" s="91"/>
      <c r="R12" s="110"/>
      <c r="S12" s="110"/>
      <c r="T12" s="110"/>
      <c r="U12" s="124"/>
      <c r="V12" s="124"/>
      <c r="W12" s="173">
        <v>25000.0</v>
      </c>
      <c r="X12" s="110" t="s">
        <v>836</v>
      </c>
      <c r="Y12" s="127">
        <v>45723.0</v>
      </c>
      <c r="Z12" s="174" t="s">
        <v>56</v>
      </c>
      <c r="AA12" s="124"/>
      <c r="AB12" s="124"/>
    </row>
    <row r="13" ht="13.5" customHeight="1">
      <c r="A13" s="124"/>
      <c r="B13" s="124"/>
      <c r="C13" s="124">
        <v>7.0</v>
      </c>
      <c r="D13" s="91"/>
      <c r="E13" s="110"/>
      <c r="F13" s="110"/>
      <c r="G13" s="110"/>
      <c r="H13" s="110"/>
      <c r="I13" s="157"/>
      <c r="J13" s="97"/>
      <c r="K13" s="97"/>
      <c r="L13" s="97"/>
      <c r="M13" s="97"/>
      <c r="N13" s="91"/>
      <c r="O13" s="110"/>
      <c r="P13" s="110"/>
      <c r="Q13" s="91"/>
      <c r="R13" s="110"/>
      <c r="S13" s="110"/>
      <c r="T13" s="110"/>
      <c r="U13" s="124"/>
      <c r="V13" s="124"/>
      <c r="W13" s="166">
        <v>5141.0</v>
      </c>
      <c r="X13" s="91" t="s">
        <v>806</v>
      </c>
      <c r="Y13" s="159" t="s">
        <v>837</v>
      </c>
      <c r="Z13" s="168" t="s">
        <v>56</v>
      </c>
      <c r="AA13" s="124"/>
      <c r="AB13" s="124"/>
    </row>
    <row r="14" ht="13.5" customHeight="1">
      <c r="A14" s="124"/>
      <c r="B14" s="124"/>
      <c r="C14" s="124">
        <v>8.0</v>
      </c>
      <c r="D14" s="91"/>
      <c r="E14" s="110"/>
      <c r="F14" s="110"/>
      <c r="G14" s="127"/>
      <c r="H14" s="110"/>
      <c r="I14" s="153"/>
      <c r="J14" s="110"/>
      <c r="K14" s="110"/>
      <c r="L14" s="110"/>
      <c r="M14" s="110"/>
      <c r="N14" s="91"/>
      <c r="O14" s="110"/>
      <c r="P14" s="110"/>
      <c r="Q14" s="91"/>
      <c r="R14" s="110"/>
      <c r="S14" s="110"/>
      <c r="T14" s="110"/>
      <c r="U14" s="124"/>
      <c r="V14" s="124"/>
      <c r="W14" s="166">
        <v>13099.0</v>
      </c>
      <c r="X14" s="91" t="s">
        <v>661</v>
      </c>
      <c r="Y14" s="159" t="s">
        <v>822</v>
      </c>
      <c r="Z14" s="168" t="s">
        <v>56</v>
      </c>
      <c r="AA14" s="124"/>
      <c r="AB14" s="124"/>
    </row>
    <row r="15" ht="13.5" customHeight="1">
      <c r="A15" s="124"/>
      <c r="B15" s="124"/>
      <c r="C15" s="124">
        <v>9.0</v>
      </c>
      <c r="D15" s="91"/>
      <c r="E15" s="110"/>
      <c r="F15" s="110"/>
      <c r="G15" s="155"/>
      <c r="H15" s="110"/>
      <c r="I15" s="153"/>
      <c r="J15" s="92"/>
      <c r="K15" s="110"/>
      <c r="L15" s="110"/>
      <c r="M15" s="110"/>
      <c r="N15" s="91"/>
      <c r="O15" s="110"/>
      <c r="P15" s="110"/>
      <c r="Q15" s="91"/>
      <c r="R15" s="110"/>
      <c r="S15" s="110"/>
      <c r="T15" s="110"/>
      <c r="U15" s="124"/>
      <c r="V15" s="124"/>
      <c r="W15" s="166">
        <v>7500.0</v>
      </c>
      <c r="X15" s="91" t="s">
        <v>838</v>
      </c>
      <c r="Y15" s="91" t="s">
        <v>839</v>
      </c>
      <c r="Z15" s="168" t="s">
        <v>56</v>
      </c>
      <c r="AA15" s="124"/>
      <c r="AB15" s="124"/>
    </row>
    <row r="16" ht="13.5" customHeight="1">
      <c r="A16" s="124"/>
      <c r="B16" s="124"/>
      <c r="C16" s="124">
        <v>10.0</v>
      </c>
      <c r="D16" s="91"/>
      <c r="E16" s="110"/>
      <c r="F16" s="110"/>
      <c r="G16" s="110"/>
      <c r="H16" s="110"/>
      <c r="I16" s="153"/>
      <c r="J16" s="92"/>
      <c r="K16" s="110"/>
      <c r="L16" s="110"/>
      <c r="M16" s="110"/>
      <c r="N16" s="91"/>
      <c r="O16" s="110"/>
      <c r="P16" s="110"/>
      <c r="Q16" s="91"/>
      <c r="R16" s="110"/>
      <c r="S16" s="110"/>
      <c r="T16" s="110"/>
      <c r="U16" s="124"/>
      <c r="V16" s="124"/>
      <c r="W16" s="166">
        <v>500.0</v>
      </c>
      <c r="X16" s="91" t="s">
        <v>840</v>
      </c>
      <c r="Y16" s="167">
        <v>45907.0</v>
      </c>
      <c r="Z16" s="168" t="s">
        <v>56</v>
      </c>
      <c r="AA16" s="124"/>
      <c r="AB16" s="124"/>
    </row>
    <row r="17" ht="13.5" customHeight="1">
      <c r="A17" s="124"/>
      <c r="B17" s="124"/>
      <c r="C17" s="124">
        <v>3.0</v>
      </c>
      <c r="D17" s="91"/>
      <c r="E17" s="110"/>
      <c r="F17" s="110"/>
      <c r="G17" s="152"/>
      <c r="H17" s="110"/>
      <c r="I17" s="153"/>
      <c r="J17" s="92"/>
      <c r="K17" s="110"/>
      <c r="L17" s="110"/>
      <c r="M17" s="110"/>
      <c r="N17" s="91"/>
      <c r="O17" s="110"/>
      <c r="P17" s="110"/>
      <c r="Q17" s="91"/>
      <c r="R17" s="110"/>
      <c r="S17" s="110"/>
      <c r="T17" s="110"/>
      <c r="U17" s="124"/>
      <c r="V17" s="124"/>
      <c r="W17" s="166">
        <v>1120.0</v>
      </c>
      <c r="X17" s="91" t="s">
        <v>841</v>
      </c>
      <c r="Y17" s="91" t="s">
        <v>842</v>
      </c>
      <c r="Z17" s="168" t="s">
        <v>56</v>
      </c>
      <c r="AA17" s="124"/>
      <c r="AB17" s="124"/>
    </row>
    <row r="18" ht="13.5" customHeight="1">
      <c r="A18" s="124"/>
      <c r="B18" s="124"/>
      <c r="C18" s="124"/>
      <c r="D18" s="91"/>
      <c r="E18" s="110"/>
      <c r="F18" s="110"/>
      <c r="G18" s="152"/>
      <c r="H18" s="110"/>
      <c r="I18" s="153"/>
      <c r="J18" s="92"/>
      <c r="K18" s="110"/>
      <c r="L18" s="110"/>
      <c r="M18" s="110"/>
      <c r="N18" s="91"/>
      <c r="O18" s="110"/>
      <c r="P18" s="110"/>
      <c r="Q18" s="91"/>
      <c r="R18" s="110"/>
      <c r="S18" s="110"/>
      <c r="T18" s="110"/>
      <c r="U18" s="124"/>
      <c r="V18" s="124"/>
      <c r="W18" s="176">
        <v>10000.0</v>
      </c>
      <c r="X18" s="138" t="s">
        <v>843</v>
      </c>
      <c r="Y18" s="177">
        <v>45968.0</v>
      </c>
      <c r="Z18" s="178" t="s">
        <v>355</v>
      </c>
      <c r="AA18" s="124"/>
      <c r="AB18" s="124"/>
    </row>
    <row r="19" ht="13.5" customHeight="1">
      <c r="A19" s="124"/>
      <c r="B19" s="124"/>
      <c r="C19" s="124"/>
      <c r="D19" s="91"/>
      <c r="E19" s="110"/>
      <c r="F19" s="110"/>
      <c r="G19" s="152"/>
      <c r="H19" s="110"/>
      <c r="I19" s="153"/>
      <c r="J19" s="92"/>
      <c r="K19" s="110"/>
      <c r="L19" s="110"/>
      <c r="M19" s="110"/>
      <c r="N19" s="91"/>
      <c r="O19" s="110"/>
      <c r="P19" s="110"/>
      <c r="Q19" s="91"/>
      <c r="R19" s="110"/>
      <c r="S19" s="110"/>
      <c r="T19" s="110"/>
      <c r="U19" s="124"/>
      <c r="V19" s="124"/>
      <c r="W19" s="176">
        <v>50000.0</v>
      </c>
      <c r="X19" s="138" t="s">
        <v>843</v>
      </c>
      <c r="Y19" s="177">
        <v>45968.0</v>
      </c>
      <c r="Z19" s="178" t="s">
        <v>304</v>
      </c>
      <c r="AA19" s="124"/>
      <c r="AB19" s="124"/>
    </row>
    <row r="20" ht="13.5" customHeight="1">
      <c r="A20" s="124"/>
      <c r="B20" s="124"/>
      <c r="C20" s="124">
        <v>14.0</v>
      </c>
      <c r="D20" s="91"/>
      <c r="E20" s="110"/>
      <c r="F20" s="110"/>
      <c r="G20" s="110"/>
      <c r="H20" s="110"/>
      <c r="I20" s="153"/>
      <c r="J20" s="110"/>
      <c r="K20" s="110"/>
      <c r="L20" s="110"/>
      <c r="M20" s="110"/>
      <c r="N20" s="91"/>
      <c r="O20" s="110"/>
      <c r="P20" s="110"/>
      <c r="Q20" s="91"/>
      <c r="R20" s="110"/>
      <c r="S20" s="110"/>
      <c r="T20" s="110"/>
      <c r="U20" s="124"/>
      <c r="V20" s="124"/>
      <c r="W20" s="179">
        <v>14256.0</v>
      </c>
      <c r="X20" s="180" t="s">
        <v>844</v>
      </c>
      <c r="Y20" s="180" t="s">
        <v>845</v>
      </c>
      <c r="Z20" s="181" t="s">
        <v>846</v>
      </c>
      <c r="AA20" s="182" t="s">
        <v>847</v>
      </c>
      <c r="AB20" s="182" t="s">
        <v>848</v>
      </c>
    </row>
    <row r="21" ht="13.5" customHeight="1">
      <c r="A21" s="124"/>
      <c r="B21" s="124"/>
      <c r="C21" s="124"/>
      <c r="D21" s="91"/>
      <c r="E21" s="110"/>
      <c r="F21" s="110"/>
      <c r="G21" s="110"/>
      <c r="H21" s="110"/>
      <c r="I21" s="153"/>
      <c r="J21" s="110"/>
      <c r="K21" s="110"/>
      <c r="L21" s="110"/>
      <c r="M21" s="110"/>
      <c r="N21" s="91"/>
      <c r="O21" s="110"/>
      <c r="P21" s="110"/>
      <c r="Q21" s="91"/>
      <c r="R21" s="110"/>
      <c r="S21" s="110"/>
      <c r="T21" s="110"/>
      <c r="U21" s="124"/>
      <c r="V21" s="124"/>
      <c r="W21" s="124"/>
      <c r="X21" s="124"/>
      <c r="Y21" s="124"/>
      <c r="Z21" s="124"/>
      <c r="AA21" s="124"/>
      <c r="AB21" s="124"/>
    </row>
    <row r="22" ht="13.5" customHeight="1">
      <c r="A22" s="124"/>
      <c r="B22" s="124"/>
      <c r="C22" s="124"/>
      <c r="D22" s="91"/>
      <c r="E22" s="110"/>
      <c r="F22" s="110"/>
      <c r="G22" s="110"/>
      <c r="H22" s="110"/>
      <c r="I22" s="110"/>
      <c r="J22" s="110"/>
      <c r="K22" s="110"/>
      <c r="L22" s="110"/>
      <c r="M22" s="110"/>
      <c r="N22" s="91"/>
      <c r="O22" s="110"/>
      <c r="P22" s="110"/>
      <c r="Q22" s="91"/>
      <c r="R22" s="110"/>
      <c r="S22" s="110"/>
      <c r="T22" s="110"/>
      <c r="U22" s="124"/>
      <c r="V22" s="124"/>
      <c r="W22" s="124"/>
      <c r="X22" s="124"/>
      <c r="Y22" s="124"/>
      <c r="Z22" s="124"/>
      <c r="AA22" s="124"/>
      <c r="AB22" s="124"/>
    </row>
    <row r="23" ht="13.5" customHeight="1">
      <c r="A23" s="124"/>
      <c r="B23" s="124"/>
      <c r="C23" s="124"/>
      <c r="D23" s="91"/>
      <c r="E23" s="110"/>
      <c r="F23" s="110"/>
      <c r="G23" s="110"/>
      <c r="H23" s="110"/>
      <c r="I23" s="110"/>
      <c r="J23" s="110"/>
      <c r="K23" s="110"/>
      <c r="L23" s="110"/>
      <c r="M23" s="110"/>
      <c r="N23" s="91"/>
      <c r="O23" s="110"/>
      <c r="P23" s="110"/>
      <c r="Q23" s="91"/>
      <c r="R23" s="110"/>
      <c r="S23" s="110"/>
      <c r="T23" s="110"/>
      <c r="U23" s="124"/>
      <c r="V23" s="124"/>
      <c r="W23" s="124"/>
      <c r="X23" s="124"/>
      <c r="Y23" s="124"/>
      <c r="Z23" s="124"/>
      <c r="AA23" s="124"/>
      <c r="AB23" s="124"/>
    </row>
    <row r="24" ht="13.5" customHeight="1">
      <c r="A24" s="124"/>
      <c r="B24" s="124"/>
      <c r="C24" s="124"/>
      <c r="D24" s="91"/>
      <c r="E24" s="110"/>
      <c r="F24" s="110"/>
      <c r="G24" s="110"/>
      <c r="H24" s="110"/>
      <c r="I24" s="110"/>
      <c r="J24" s="110"/>
      <c r="K24" s="110"/>
      <c r="L24" s="110"/>
      <c r="M24" s="110"/>
      <c r="N24" s="91"/>
      <c r="O24" s="110"/>
      <c r="P24" s="110"/>
      <c r="Q24" s="91"/>
      <c r="R24" s="110"/>
      <c r="S24" s="110"/>
      <c r="T24" s="110"/>
      <c r="U24" s="124"/>
      <c r="V24" s="124"/>
      <c r="W24" s="124"/>
      <c r="X24" s="124"/>
      <c r="Y24" s="124"/>
      <c r="Z24" s="124"/>
      <c r="AA24" s="124"/>
      <c r="AB24" s="124"/>
    </row>
    <row r="25" ht="13.5" customHeight="1">
      <c r="A25" s="124"/>
      <c r="B25" s="124"/>
      <c r="C25" s="124"/>
      <c r="D25" s="110"/>
      <c r="E25" s="110"/>
      <c r="F25" s="110"/>
      <c r="G25" s="110"/>
      <c r="H25" s="110"/>
      <c r="I25" s="110"/>
      <c r="J25" s="110"/>
      <c r="K25" s="110"/>
      <c r="L25" s="110"/>
      <c r="M25" s="110"/>
      <c r="N25" s="91"/>
      <c r="O25" s="110"/>
      <c r="P25" s="110"/>
      <c r="Q25" s="110"/>
      <c r="R25" s="110"/>
      <c r="S25" s="110"/>
      <c r="T25" s="110"/>
      <c r="U25" s="161"/>
      <c r="V25" s="161"/>
      <c r="W25" s="124"/>
      <c r="X25" s="124">
        <v>48013.0</v>
      </c>
      <c r="Y25" s="124" t="s">
        <v>849</v>
      </c>
      <c r="Z25" s="124">
        <v>75000.0</v>
      </c>
      <c r="AA25" s="124" t="s">
        <v>850</v>
      </c>
      <c r="AB25" s="124"/>
    </row>
    <row r="26" ht="13.5" customHeight="1">
      <c r="A26" s="124"/>
      <c r="B26" s="124"/>
      <c r="C26" s="124"/>
      <c r="D26" s="124"/>
      <c r="E26" s="124"/>
      <c r="F26" s="110"/>
      <c r="G26" s="124"/>
      <c r="H26" s="124"/>
      <c r="I26" s="124"/>
      <c r="J26" s="124"/>
      <c r="K26" s="124"/>
      <c r="L26" s="124"/>
      <c r="M26" s="124"/>
      <c r="N26" s="124"/>
      <c r="O26" s="124"/>
      <c r="P26" s="124"/>
      <c r="Q26" s="124"/>
      <c r="R26" s="124"/>
      <c r="S26" s="124"/>
      <c r="T26" s="124"/>
      <c r="U26" s="124"/>
      <c r="V26" s="124"/>
      <c r="W26" s="124"/>
      <c r="X26" s="124">
        <v>9000.0</v>
      </c>
      <c r="Y26" s="124" t="s">
        <v>851</v>
      </c>
      <c r="Z26" s="124">
        <v>10000.0</v>
      </c>
      <c r="AA26" s="124" t="s">
        <v>852</v>
      </c>
      <c r="AB26" s="124"/>
    </row>
    <row r="27" ht="13.5" customHeight="1">
      <c r="A27" s="124"/>
      <c r="B27" s="124"/>
      <c r="C27" s="124"/>
      <c r="D27" s="124"/>
      <c r="E27" s="124"/>
      <c r="F27" s="110"/>
      <c r="G27" s="124"/>
      <c r="H27" s="124"/>
      <c r="I27" s="124"/>
      <c r="J27" s="124"/>
      <c r="K27" s="124"/>
      <c r="L27" s="124"/>
      <c r="M27" s="124"/>
      <c r="N27" s="124"/>
      <c r="O27" s="124"/>
      <c r="P27" s="124"/>
      <c r="Q27" s="124"/>
      <c r="R27" s="124"/>
      <c r="S27" s="124"/>
      <c r="T27" s="124"/>
      <c r="U27" s="124"/>
      <c r="V27" s="124"/>
      <c r="W27" s="124"/>
      <c r="X27" s="124"/>
      <c r="Y27" s="124"/>
      <c r="Z27" s="124"/>
      <c r="AA27" s="124"/>
      <c r="AB27" s="124"/>
    </row>
    <row r="28" ht="13.5" customHeight="1">
      <c r="A28" s="124"/>
      <c r="B28" s="124"/>
      <c r="C28" s="124"/>
      <c r="D28" s="124"/>
      <c r="E28" s="124"/>
      <c r="F28" s="110"/>
      <c r="G28" s="124"/>
      <c r="H28" s="124"/>
      <c r="I28" s="124"/>
      <c r="J28" s="124"/>
      <c r="K28" s="124"/>
      <c r="L28" s="124"/>
      <c r="M28" s="124"/>
      <c r="N28" s="124"/>
      <c r="O28" s="124"/>
      <c r="P28" s="124"/>
      <c r="Q28" s="124"/>
      <c r="R28" s="124"/>
      <c r="S28" s="124"/>
      <c r="T28" s="124"/>
      <c r="U28" s="124"/>
      <c r="V28" s="124"/>
      <c r="W28" s="124"/>
      <c r="X28" s="124"/>
      <c r="Y28" s="124"/>
      <c r="Z28" s="124"/>
      <c r="AA28" s="124"/>
      <c r="AB28" s="124"/>
    </row>
    <row r="29" ht="13.5" customHeight="1">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c r="AA29" s="124"/>
      <c r="AB29" s="124"/>
    </row>
    <row r="30" ht="13.5" customHeight="1">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c r="AA30" s="124"/>
      <c r="AB30" s="124"/>
    </row>
    <row r="31" ht="13.5" customHeight="1">
      <c r="A31" s="124"/>
      <c r="B31" s="124"/>
      <c r="C31" s="124"/>
      <c r="D31" s="124"/>
      <c r="E31" s="124"/>
      <c r="F31" s="124"/>
      <c r="G31" s="124"/>
      <c r="H31" s="124"/>
      <c r="I31" s="124"/>
      <c r="J31" s="124"/>
      <c r="K31" s="124"/>
      <c r="L31" s="124"/>
      <c r="M31" s="124"/>
      <c r="N31" s="124"/>
      <c r="O31" s="124"/>
      <c r="P31" s="124"/>
      <c r="Q31" s="124"/>
      <c r="R31" s="124"/>
      <c r="S31" s="124"/>
      <c r="T31" s="124"/>
      <c r="U31" s="124"/>
      <c r="V31" s="124"/>
      <c r="W31" s="124"/>
      <c r="X31" s="124"/>
      <c r="Y31" s="124"/>
      <c r="Z31" s="124"/>
      <c r="AA31" s="124"/>
      <c r="AB31" s="124"/>
    </row>
    <row r="32" ht="13.5" customHeight="1">
      <c r="A32" s="124"/>
      <c r="B32" s="124"/>
      <c r="C32" s="124"/>
      <c r="D32" s="124"/>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row>
    <row r="33" ht="13.5" customHeight="1">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row>
    <row r="34" ht="13.5" customHeight="1">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c r="AA34" s="124"/>
      <c r="AB34" s="124"/>
    </row>
    <row r="35" ht="13.5" customHeight="1">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row>
    <row r="36" ht="13.5" customHeight="1">
      <c r="A36" s="124"/>
      <c r="B36" s="124"/>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c r="AA36" s="124"/>
      <c r="AB36" s="124"/>
    </row>
    <row r="37" ht="13.5" customHeight="1">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c r="AA37" s="124"/>
      <c r="AB37" s="124"/>
    </row>
    <row r="38" ht="13.5" customHeight="1">
      <c r="A38" s="124"/>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row>
    <row r="39" ht="13.5" customHeight="1">
      <c r="A39" s="124"/>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row>
    <row r="40" ht="13.5" customHeight="1">
      <c r="A40" s="124"/>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c r="AA40" s="124"/>
      <c r="AB40" s="124"/>
    </row>
    <row r="41" ht="13.5" customHeight="1">
      <c r="A41" s="124"/>
      <c r="B41" s="124"/>
      <c r="C41" s="151">
        <v>45753.0</v>
      </c>
      <c r="D41" s="124">
        <v>20000.0</v>
      </c>
      <c r="E41" s="124" t="s">
        <v>799</v>
      </c>
      <c r="F41" s="124" t="s">
        <v>800</v>
      </c>
      <c r="G41" s="124"/>
      <c r="H41" s="124"/>
      <c r="I41" s="124"/>
      <c r="J41" s="124"/>
      <c r="K41" s="124"/>
      <c r="L41" s="124"/>
      <c r="M41" s="124"/>
      <c r="N41" s="124"/>
      <c r="O41" s="124"/>
      <c r="P41" s="124"/>
      <c r="Q41" s="124"/>
      <c r="R41" s="124"/>
      <c r="S41" s="124"/>
      <c r="T41" s="124"/>
      <c r="U41" s="124"/>
      <c r="V41" s="124"/>
      <c r="W41" s="124"/>
      <c r="X41" s="124"/>
      <c r="Y41" s="124"/>
      <c r="Z41" s="124"/>
      <c r="AA41" s="124"/>
      <c r="AB41" s="124"/>
    </row>
    <row r="42" ht="13.5" customHeight="1">
      <c r="A42" s="124"/>
      <c r="B42" s="124"/>
      <c r="C42" s="151">
        <v>45814.0</v>
      </c>
      <c r="D42" s="124">
        <v>20000.0</v>
      </c>
      <c r="E42" s="124" t="s">
        <v>801</v>
      </c>
      <c r="F42" s="124" t="s">
        <v>802</v>
      </c>
      <c r="G42" s="124"/>
      <c r="H42" s="124"/>
      <c r="I42" s="124"/>
      <c r="J42" s="124"/>
      <c r="K42" s="124"/>
      <c r="L42" s="124"/>
      <c r="M42" s="124"/>
      <c r="N42" s="124"/>
      <c r="O42" s="124"/>
      <c r="P42" s="124"/>
      <c r="Q42" s="124"/>
      <c r="R42" s="124"/>
      <c r="S42" s="124"/>
      <c r="T42" s="124"/>
      <c r="U42" s="124"/>
      <c r="V42" s="124"/>
      <c r="W42" s="124"/>
      <c r="X42" s="124"/>
      <c r="Y42" s="124"/>
      <c r="Z42" s="124"/>
      <c r="AA42" s="124"/>
      <c r="AB42" s="124"/>
    </row>
    <row r="43" ht="13.5" customHeight="1">
      <c r="A43" s="124"/>
      <c r="B43" s="124"/>
      <c r="C43" s="124" t="s">
        <v>803</v>
      </c>
      <c r="D43" s="124">
        <v>43000.0</v>
      </c>
      <c r="E43" s="124" t="s">
        <v>801</v>
      </c>
      <c r="F43" s="124" t="s">
        <v>804</v>
      </c>
      <c r="G43" s="124"/>
      <c r="H43" s="124"/>
      <c r="I43" s="124"/>
      <c r="J43" s="124"/>
      <c r="K43" s="124"/>
      <c r="L43" s="124"/>
      <c r="M43" s="124"/>
      <c r="N43" s="124"/>
      <c r="O43" s="124"/>
      <c r="P43" s="124"/>
      <c r="Q43" s="124"/>
      <c r="R43" s="124"/>
      <c r="S43" s="124"/>
      <c r="T43" s="124"/>
      <c r="U43" s="124"/>
      <c r="V43" s="124"/>
      <c r="W43" s="124"/>
      <c r="X43" s="124"/>
      <c r="Y43" s="124"/>
      <c r="Z43" s="124"/>
      <c r="AA43" s="124"/>
      <c r="AB43" s="124"/>
    </row>
    <row r="44" ht="13.5" customHeight="1">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row>
    <row r="45" ht="13.5" customHeight="1">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row>
    <row r="46" ht="13.5" customHeight="1">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row>
    <row r="47" ht="13.5" customHeight="1">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row>
    <row r="48" ht="13.5" customHeight="1">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row>
    <row r="49" ht="13.5" customHeight="1">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row>
    <row r="50" ht="13.5" customHeight="1">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row>
    <row r="51" ht="13.5" customHeight="1">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row>
    <row r="52" ht="13.5" customHeight="1">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row>
    <row r="53" ht="13.5" customHeight="1">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row>
    <row r="54" ht="13.5" customHeight="1">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row>
    <row r="55" ht="13.5" customHeight="1">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row>
    <row r="56" ht="13.5" customHeight="1">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row>
    <row r="57" ht="13.5" customHeight="1">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row>
    <row r="58" ht="13.5" customHeight="1">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row>
    <row r="59" ht="13.5" customHeight="1">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row>
    <row r="60" ht="13.5" customHeight="1">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row>
    <row r="61" ht="13.5" customHeight="1">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row>
    <row r="62" ht="13.5" customHeight="1">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row>
    <row r="63" ht="13.5" customHeight="1">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row>
    <row r="64" ht="13.5" customHeight="1">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row>
    <row r="65" ht="13.5" customHeight="1">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row>
    <row r="66" ht="13.5" customHeight="1">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row>
    <row r="67" ht="13.5" customHeight="1">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row>
    <row r="68" ht="13.5" customHeight="1">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row>
    <row r="69" ht="13.5" customHeight="1">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row>
    <row r="70" ht="13.5" customHeight="1">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row>
    <row r="71" ht="13.5" customHeight="1">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row>
    <row r="72" ht="13.5" customHeight="1">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row>
    <row r="73" ht="13.5" customHeight="1">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row>
    <row r="74" ht="13.5" customHeight="1">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row>
    <row r="75" ht="13.5" customHeight="1">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row>
    <row r="76" ht="13.5" customHeight="1">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row>
    <row r="77" ht="13.5" customHeight="1">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row>
    <row r="78" ht="13.5" customHeight="1">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row>
    <row r="79" ht="13.5" customHeight="1">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row>
    <row r="80" ht="13.5" customHeight="1">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row>
    <row r="81" ht="13.5" customHeight="1">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row>
    <row r="82" ht="13.5" customHeight="1">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row>
    <row r="83" ht="13.5" customHeight="1">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row>
    <row r="84" ht="13.5" customHeight="1">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row>
    <row r="85" ht="13.5" customHeight="1">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row>
    <row r="86" ht="13.5" customHeight="1">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row>
    <row r="87" ht="13.5" customHeight="1">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row>
    <row r="88" ht="13.5" customHeight="1">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row>
    <row r="89" ht="13.5" customHeight="1">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row>
    <row r="90" ht="13.5" customHeight="1">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row>
    <row r="91" ht="13.5" customHeight="1">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row>
    <row r="92" ht="13.5" customHeight="1">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row>
    <row r="93" ht="13.5" customHeight="1">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row>
    <row r="94" ht="13.5" customHeight="1">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row>
    <row r="95" ht="13.5" customHeight="1">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row>
    <row r="96" ht="13.5" customHeight="1">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row>
    <row r="97" ht="13.5" customHeight="1">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row>
    <row r="98" ht="13.5" customHeight="1">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row>
    <row r="99" ht="13.5" customHeight="1">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c r="AA99" s="124"/>
      <c r="AB99" s="124"/>
    </row>
    <row r="100" ht="13.5" customHeight="1">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row>
    <row r="101" ht="13.5" customHeight="1">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c r="AA101" s="124"/>
      <c r="AB101" s="124"/>
    </row>
    <row r="102" ht="13.5" customHeight="1">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c r="AA102" s="124"/>
      <c r="AB102" s="124"/>
    </row>
    <row r="103" ht="13.5" customHeight="1">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c r="AA103" s="124"/>
      <c r="AB103" s="124"/>
    </row>
    <row r="104" ht="13.5" customHeight="1">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row>
    <row r="105" ht="13.5" customHeight="1">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c r="AB105" s="124"/>
    </row>
    <row r="106" ht="13.5" customHeight="1">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c r="AA106" s="124"/>
      <c r="AB106" s="124"/>
    </row>
    <row r="107" ht="13.5" customHeight="1">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4"/>
    </row>
    <row r="108" ht="13.5" customHeight="1">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c r="AA108" s="124"/>
      <c r="AB108" s="124"/>
    </row>
    <row r="109" ht="13.5" customHeight="1">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row>
    <row r="110" ht="13.5" customHeight="1">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row>
    <row r="111" ht="13.5" customHeight="1">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row>
    <row r="112" ht="13.5" customHeight="1">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row>
    <row r="113" ht="13.5" customHeight="1">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c r="AA113" s="124"/>
      <c r="AB113" s="124"/>
    </row>
    <row r="114" ht="13.5" customHeight="1">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c r="AA114" s="124"/>
      <c r="AB114" s="124"/>
    </row>
    <row r="115" ht="13.5" customHeight="1">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row>
    <row r="116" ht="13.5" customHeight="1">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c r="AA116" s="124"/>
      <c r="AB116" s="124"/>
    </row>
    <row r="117" ht="13.5" customHeight="1">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row>
    <row r="118" ht="13.5" customHeight="1">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c r="AB118" s="124"/>
    </row>
    <row r="119" ht="13.5" customHeight="1">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row>
    <row r="120" ht="13.5" customHeight="1">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row>
    <row r="121" ht="13.5" customHeight="1">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row>
    <row r="122" ht="13.5" customHeight="1">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row>
    <row r="123" ht="13.5" customHeight="1">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row>
    <row r="124" ht="13.5" customHeight="1">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row>
    <row r="125" ht="13.5" customHeight="1">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row>
    <row r="126" ht="13.5" customHeight="1">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row>
    <row r="127" ht="13.5" customHeight="1">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row>
    <row r="128" ht="13.5" customHeight="1">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row>
    <row r="129" ht="13.5" customHeight="1">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row>
    <row r="130" ht="13.5" customHeight="1">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row>
    <row r="131" ht="13.5" customHeight="1">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row>
    <row r="132" ht="13.5" customHeight="1">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row>
    <row r="133" ht="13.5" customHeight="1">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c r="AB133" s="124"/>
    </row>
    <row r="134" ht="13.5" customHeight="1">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row>
    <row r="135" ht="13.5" customHeight="1">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row>
    <row r="136" ht="13.5" customHeight="1">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c r="AB136" s="124"/>
    </row>
    <row r="137" ht="13.5" customHeight="1">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row>
    <row r="138" ht="13.5" customHeight="1">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row>
    <row r="139" ht="13.5" customHeight="1">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row>
    <row r="140" ht="13.5" customHeight="1">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row>
    <row r="141" ht="13.5" customHeight="1">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row>
    <row r="142" ht="13.5" customHeight="1">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row>
    <row r="143" ht="13.5" customHeight="1">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row>
    <row r="144" ht="13.5" customHeight="1">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row>
    <row r="145" ht="13.5" customHeight="1">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row>
    <row r="146" ht="13.5" customHeight="1">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row>
    <row r="147" ht="13.5" customHeight="1">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row>
    <row r="148" ht="13.5" customHeight="1">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row>
    <row r="149" ht="13.5" customHeight="1">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row>
    <row r="150" ht="13.5" customHeight="1">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row>
    <row r="151" ht="13.5" customHeight="1">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row>
    <row r="152" ht="13.5" customHeight="1">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c r="AB152" s="124"/>
    </row>
    <row r="153" ht="13.5" customHeight="1">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c r="AB153" s="124"/>
    </row>
    <row r="154" ht="13.5" customHeight="1">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row>
    <row r="155" ht="13.5" customHeight="1">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c r="AB155" s="124"/>
    </row>
    <row r="156" ht="13.5" customHeight="1">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row>
    <row r="157" ht="13.5" customHeight="1">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row>
    <row r="158" ht="13.5" customHeight="1">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row>
    <row r="159" ht="13.5" customHeight="1">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row>
    <row r="160" ht="13.5" customHeight="1">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row>
    <row r="161" ht="13.5" customHeight="1">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row>
    <row r="162" ht="13.5" customHeight="1">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row>
    <row r="163" ht="13.5" customHeight="1">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124"/>
    </row>
    <row r="164" ht="13.5" customHeight="1">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row>
    <row r="165" ht="13.5" customHeight="1">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row>
    <row r="166" ht="13.5" customHeight="1">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row>
    <row r="167" ht="13.5" customHeight="1">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c r="AB167" s="124"/>
    </row>
    <row r="168" ht="13.5" customHeight="1">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row>
    <row r="169" ht="13.5" customHeight="1">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c r="AB169" s="124"/>
    </row>
    <row r="170" ht="13.5" customHeight="1">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row>
    <row r="171" ht="13.5" customHeight="1">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124"/>
    </row>
    <row r="172" ht="13.5" customHeight="1">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row>
    <row r="173" ht="13.5" customHeight="1">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row>
    <row r="174" ht="13.5" customHeight="1">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row>
    <row r="175" ht="13.5" customHeight="1">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124"/>
    </row>
    <row r="176" ht="13.5" customHeight="1">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row>
    <row r="177" ht="13.5" customHeight="1">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row>
    <row r="178" ht="13.5" customHeight="1">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row>
    <row r="179" ht="13.5" customHeight="1">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124"/>
    </row>
    <row r="180" ht="13.5" customHeight="1">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row>
    <row r="181" ht="13.5" customHeight="1">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row>
    <row r="182" ht="13.5" customHeight="1">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124"/>
    </row>
    <row r="183" ht="13.5" customHeight="1">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c r="AB183" s="124"/>
    </row>
    <row r="184" ht="13.5" customHeight="1">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row>
    <row r="185" ht="13.5" customHeight="1">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124"/>
    </row>
    <row r="186" ht="13.5" customHeight="1">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row>
    <row r="187" ht="13.5" customHeight="1">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row>
    <row r="188" ht="13.5" customHeight="1">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row>
    <row r="189" ht="13.5" customHeight="1">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row>
    <row r="190" ht="13.5" customHeight="1">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row>
    <row r="191" ht="13.5" customHeight="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row>
    <row r="192" ht="13.5" customHeight="1">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row>
    <row r="193" ht="13.5" customHeight="1">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row>
    <row r="194" ht="13.5" customHeight="1">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row>
    <row r="195" ht="13.5" customHeight="1">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row>
    <row r="196" ht="13.5" customHeight="1">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row>
    <row r="197" ht="13.5" customHeight="1">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row>
    <row r="198" ht="13.5" customHeight="1">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row>
    <row r="199" ht="13.5" customHeight="1">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row>
    <row r="200" ht="13.5" customHeight="1">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row>
    <row r="201" ht="13.5" customHeight="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row>
    <row r="202" ht="13.5" customHeight="1">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row>
    <row r="203" ht="13.5" customHeight="1">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row>
    <row r="204" ht="13.5" customHeight="1">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row>
    <row r="205" ht="13.5" customHeight="1">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row>
    <row r="206" ht="13.5" customHeight="1">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row>
    <row r="207" ht="13.5" customHeight="1">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row>
    <row r="208" ht="13.5" customHeight="1">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row>
    <row r="209" ht="13.5" customHeight="1">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row>
    <row r="210" ht="13.5" customHeight="1">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row>
    <row r="211" ht="13.5" customHeight="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row>
    <row r="212" ht="13.5" customHeight="1">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row>
    <row r="213" ht="13.5" customHeight="1">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row>
    <row r="214" ht="13.5" customHeight="1">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row>
    <row r="215" ht="13.5" customHeight="1">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row>
    <row r="216" ht="13.5" customHeight="1">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row>
    <row r="217" ht="13.5" customHeight="1">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row>
    <row r="218" ht="13.5" customHeight="1">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row>
    <row r="219" ht="13.5" customHeight="1">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row>
    <row r="220" ht="13.5" customHeight="1">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row>
    <row r="221" ht="13.5" customHeight="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row>
    <row r="222" ht="13.5" customHeight="1">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row>
    <row r="223" ht="13.5" customHeight="1">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row>
    <row r="224" ht="13.5" customHeight="1">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row>
    <row r="225" ht="13.5" customHeight="1">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row>
    <row r="226" ht="13.5" customHeight="1">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row>
    <row r="227" ht="13.5" customHeight="1">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row>
    <row r="228" ht="13.5" customHeight="1">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row>
    <row r="229" ht="13.5" customHeight="1">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row>
    <row r="230" ht="13.5" customHeight="1">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row>
    <row r="231" ht="13.5" customHeight="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row>
    <row r="232" ht="13.5" customHeight="1">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row>
    <row r="233" ht="13.5" customHeight="1">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row>
    <row r="234" ht="13.5" customHeight="1">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row>
    <row r="235" ht="13.5" customHeight="1">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row>
    <row r="236" ht="13.5" customHeight="1">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row>
    <row r="237" ht="13.5" customHeight="1">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row>
    <row r="238" ht="13.5" customHeight="1">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row>
    <row r="239" ht="13.5" customHeight="1">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row>
    <row r="240" ht="13.5" customHeight="1">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row>
    <row r="241" ht="13.5" customHeight="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row>
    <row r="242" ht="13.5" customHeight="1">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row>
    <row r="243" ht="13.5" customHeight="1">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row>
    <row r="244" ht="13.5" customHeight="1">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row>
    <row r="245" ht="13.5" customHeight="1">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row>
    <row r="246" ht="13.5" customHeight="1">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row>
    <row r="247" ht="13.5" customHeight="1">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row>
    <row r="248" ht="13.5" customHeight="1">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row>
    <row r="249" ht="13.5" customHeight="1">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row>
    <row r="250" ht="13.5" customHeight="1">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row>
    <row r="251" ht="13.5" customHeight="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row>
    <row r="252" ht="13.5" customHeight="1">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row>
    <row r="253" ht="13.5" customHeight="1">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row>
    <row r="254" ht="13.5" customHeight="1">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row>
    <row r="255" ht="13.5" customHeight="1">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row>
    <row r="256" ht="13.5" customHeight="1">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row>
    <row r="257" ht="13.5" customHeight="1">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row>
    <row r="258" ht="13.5" customHeight="1">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row>
    <row r="259" ht="13.5" customHeight="1">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row>
    <row r="260" ht="13.5" customHeight="1">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row>
    <row r="261" ht="13.5" customHeight="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row>
    <row r="262" ht="13.5" customHeight="1">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row>
    <row r="263" ht="13.5" customHeight="1">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row>
    <row r="264" ht="13.5" customHeight="1">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row>
    <row r="265" ht="13.5" customHeight="1">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row>
    <row r="266" ht="13.5" customHeight="1">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row>
    <row r="267" ht="13.5" customHeight="1">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row>
    <row r="268" ht="13.5" customHeight="1">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row>
    <row r="269" ht="13.5" customHeight="1">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row>
    <row r="270" ht="13.5" customHeight="1">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row>
    <row r="271" ht="13.5" customHeight="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row>
    <row r="272" ht="13.5" customHeight="1">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row>
    <row r="273" ht="13.5" customHeight="1">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row>
    <row r="274" ht="13.5" customHeight="1">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row>
    <row r="275" ht="13.5" customHeight="1">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row>
    <row r="276" ht="13.5" customHeight="1">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row>
    <row r="277" ht="13.5" customHeight="1">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row>
    <row r="278" ht="13.5" customHeight="1">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row>
    <row r="279" ht="13.5" customHeight="1">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row>
    <row r="280" ht="13.5" customHeight="1">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row>
    <row r="281" ht="13.5" customHeight="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row>
    <row r="282" ht="13.5" customHeight="1">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row>
    <row r="283" ht="13.5" customHeight="1">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row>
    <row r="284" ht="13.5" customHeight="1">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row>
    <row r="285" ht="13.5" customHeight="1">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row>
    <row r="286" ht="13.5" customHeight="1">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row>
    <row r="287" ht="13.5" customHeight="1">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row>
    <row r="288" ht="13.5" customHeight="1">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row>
    <row r="289" ht="13.5" customHeight="1">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row>
    <row r="290" ht="13.5" customHeight="1">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row>
    <row r="291" ht="13.5" customHeight="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row>
    <row r="292" ht="13.5" customHeight="1">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row>
    <row r="293" ht="13.5" customHeight="1">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row>
    <row r="294" ht="13.5" customHeight="1">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row>
    <row r="295" ht="13.5" customHeight="1">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row>
    <row r="296" ht="13.5" customHeight="1">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row>
    <row r="297" ht="13.5" customHeight="1">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row>
    <row r="298" ht="13.5" customHeight="1">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row>
    <row r="299" ht="13.5" customHeight="1">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row>
    <row r="300" ht="13.5" customHeight="1">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row>
    <row r="301" ht="13.5" customHeight="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row>
    <row r="302" ht="13.5" customHeight="1">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row>
    <row r="303" ht="13.5" customHeight="1">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row>
    <row r="304" ht="13.5" customHeight="1">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row>
    <row r="305" ht="13.5" customHeight="1">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row>
    <row r="306" ht="13.5" customHeight="1">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row>
    <row r="307" ht="13.5" customHeight="1">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row>
    <row r="308" ht="13.5" customHeight="1">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row>
    <row r="309" ht="13.5" customHeight="1">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row>
    <row r="310" ht="13.5" customHeight="1">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row>
    <row r="311" ht="13.5" customHeight="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row>
    <row r="312" ht="13.5" customHeight="1">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row>
    <row r="313" ht="13.5" customHeight="1">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row>
    <row r="314" ht="13.5" customHeight="1">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row>
    <row r="315" ht="13.5" customHeight="1">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row>
    <row r="316" ht="13.5" customHeight="1">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row>
    <row r="317" ht="13.5" customHeight="1">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row>
    <row r="318" ht="13.5" customHeight="1">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row>
    <row r="319" ht="13.5" customHeight="1">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row>
    <row r="320" ht="13.5" customHeight="1">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row>
    <row r="321" ht="13.5" customHeight="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row>
    <row r="322" ht="13.5" customHeight="1">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row>
    <row r="323" ht="13.5" customHeight="1">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row>
    <row r="324" ht="13.5" customHeight="1">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row>
    <row r="325" ht="13.5" customHeight="1">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row>
    <row r="326" ht="13.5" customHeight="1">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row>
    <row r="327" ht="13.5" customHeight="1">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row>
    <row r="328" ht="13.5" customHeight="1">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row>
    <row r="329" ht="13.5" customHeight="1">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row>
    <row r="330" ht="13.5" customHeight="1">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row>
    <row r="331" ht="13.5" customHeight="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row>
    <row r="332" ht="13.5" customHeight="1">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row>
    <row r="333" ht="13.5" customHeight="1">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row>
    <row r="334" ht="13.5" customHeight="1">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row>
    <row r="335" ht="13.5" customHeight="1">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row>
    <row r="336" ht="13.5" customHeight="1">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row>
    <row r="337" ht="13.5" customHeight="1">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row>
    <row r="338" ht="13.5" customHeight="1">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row>
    <row r="339" ht="13.5" customHeight="1">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row>
    <row r="340" ht="13.5" customHeight="1">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row>
    <row r="341" ht="13.5" customHeight="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row>
    <row r="342" ht="13.5" customHeight="1">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row>
    <row r="343" ht="13.5" customHeight="1">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row>
    <row r="344" ht="13.5" customHeight="1">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row>
    <row r="345" ht="13.5" customHeight="1">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row>
    <row r="346" ht="13.5" customHeight="1">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row>
    <row r="347" ht="13.5" customHeight="1">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row>
    <row r="348" ht="13.5" customHeight="1">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row>
    <row r="349" ht="13.5" customHeight="1">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row>
    <row r="350" ht="13.5" customHeight="1">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row>
    <row r="351" ht="13.5" customHeight="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row>
    <row r="352" ht="13.5" customHeight="1">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row>
    <row r="353" ht="13.5" customHeight="1">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row>
    <row r="354" ht="13.5" customHeight="1">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row>
    <row r="355" ht="13.5" customHeight="1">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row>
    <row r="356" ht="13.5" customHeight="1">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row>
    <row r="357" ht="13.5" customHeight="1">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row>
    <row r="358" ht="13.5" customHeight="1">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row>
    <row r="359" ht="13.5" customHeight="1">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row>
    <row r="360" ht="13.5" customHeight="1">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row>
    <row r="361" ht="13.5" customHeight="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row>
    <row r="362" ht="13.5" customHeight="1">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row>
    <row r="363" ht="13.5" customHeight="1">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row>
    <row r="364" ht="13.5" customHeight="1">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row>
    <row r="365" ht="13.5" customHeight="1">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row>
    <row r="366" ht="13.5" customHeight="1">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row>
    <row r="367" ht="13.5" customHeight="1">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row>
    <row r="368" ht="13.5" customHeight="1">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row>
    <row r="369" ht="13.5" customHeight="1">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row>
    <row r="370" ht="13.5" customHeight="1">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row>
    <row r="371" ht="13.5" customHeight="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row>
    <row r="372" ht="13.5" customHeight="1">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row>
    <row r="373" ht="13.5" customHeight="1">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row>
    <row r="374" ht="13.5" customHeight="1">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row>
    <row r="375" ht="13.5" customHeight="1">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row>
    <row r="376" ht="13.5" customHeight="1">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row>
    <row r="377" ht="13.5" customHeight="1">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row>
    <row r="378" ht="13.5" customHeight="1">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row>
    <row r="379" ht="13.5" customHeight="1">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row>
    <row r="380" ht="13.5" customHeight="1">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row>
    <row r="381" ht="13.5" customHeight="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row>
    <row r="382" ht="13.5" customHeight="1">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row>
    <row r="383" ht="13.5" customHeight="1">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row>
    <row r="384" ht="13.5" customHeight="1">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row>
    <row r="385" ht="13.5" customHeight="1">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row>
    <row r="386" ht="13.5" customHeight="1">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row>
    <row r="387" ht="13.5" customHeight="1">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row>
    <row r="388" ht="13.5" customHeight="1">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row>
    <row r="389" ht="13.5" customHeight="1">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row>
    <row r="390" ht="13.5" customHeight="1">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row>
    <row r="391" ht="13.5" customHeight="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row>
    <row r="392" ht="13.5" customHeight="1">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row>
    <row r="393" ht="13.5" customHeight="1">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row>
    <row r="394" ht="13.5" customHeight="1">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row>
    <row r="395" ht="13.5" customHeight="1">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row>
    <row r="396" ht="13.5" customHeight="1">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row>
    <row r="397" ht="13.5" customHeight="1">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row>
    <row r="398" ht="13.5" customHeight="1">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row>
    <row r="399" ht="13.5" customHeight="1">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row>
    <row r="400" ht="13.5" customHeight="1">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row>
    <row r="401" ht="13.5" customHeight="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row>
    <row r="402" ht="13.5" customHeight="1">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row>
    <row r="403" ht="13.5" customHeight="1">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row>
    <row r="404" ht="13.5" customHeight="1">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row>
    <row r="405" ht="13.5" customHeight="1">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row>
    <row r="406" ht="13.5" customHeight="1">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row>
    <row r="407" ht="13.5" customHeight="1">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row>
    <row r="408" ht="13.5" customHeight="1">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row>
    <row r="409" ht="13.5" customHeight="1">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row>
    <row r="410" ht="13.5" customHeight="1">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row>
    <row r="411" ht="13.5" customHeight="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row>
    <row r="412" ht="13.5" customHeight="1">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row>
    <row r="413" ht="13.5" customHeight="1">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row>
    <row r="414" ht="13.5" customHeight="1">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row>
    <row r="415" ht="13.5" customHeight="1">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row>
    <row r="416" ht="13.5" customHeight="1">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row>
    <row r="417" ht="13.5" customHeight="1">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row>
    <row r="418" ht="13.5" customHeight="1">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row>
    <row r="419" ht="13.5" customHeight="1">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row>
    <row r="420" ht="13.5" customHeight="1">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row>
    <row r="421" ht="13.5" customHeight="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row>
    <row r="422" ht="13.5" customHeight="1">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row>
    <row r="423" ht="13.5" customHeight="1">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row>
    <row r="424" ht="13.5" customHeight="1">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row>
    <row r="425" ht="13.5" customHeight="1">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row>
    <row r="426" ht="13.5" customHeight="1">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row>
    <row r="427" ht="13.5" customHeight="1">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row>
    <row r="428" ht="13.5" customHeight="1">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row>
    <row r="429" ht="13.5" customHeight="1">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row>
    <row r="430" ht="13.5" customHeight="1">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row>
    <row r="431" ht="13.5" customHeight="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row>
    <row r="432" ht="13.5" customHeight="1">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row>
    <row r="433" ht="13.5" customHeight="1">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row>
    <row r="434" ht="13.5" customHeight="1">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row>
    <row r="435" ht="13.5" customHeight="1">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row>
    <row r="436" ht="13.5" customHeight="1">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row>
    <row r="437" ht="13.5" customHeight="1">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row>
    <row r="438" ht="13.5" customHeight="1">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row>
    <row r="439" ht="13.5" customHeight="1">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row>
    <row r="440" ht="13.5" customHeight="1">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row>
    <row r="441" ht="13.5" customHeight="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row>
    <row r="442" ht="13.5" customHeight="1">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row>
    <row r="443" ht="13.5" customHeight="1">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row>
    <row r="444" ht="13.5" customHeight="1">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row>
    <row r="445" ht="13.5" customHeight="1">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row>
    <row r="446" ht="13.5" customHeight="1">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row>
    <row r="447" ht="13.5" customHeight="1">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row>
    <row r="448" ht="13.5" customHeight="1">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row>
    <row r="449" ht="13.5" customHeight="1">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row>
    <row r="450" ht="13.5" customHeight="1">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row>
    <row r="451" ht="13.5" customHeight="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row>
    <row r="452" ht="13.5" customHeight="1">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row>
    <row r="453" ht="13.5" customHeight="1">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row>
    <row r="454" ht="13.5" customHeight="1">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row>
    <row r="455" ht="13.5" customHeight="1">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row>
    <row r="456" ht="13.5" customHeight="1">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row>
    <row r="457" ht="13.5" customHeight="1">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row>
    <row r="458" ht="13.5" customHeight="1">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row>
    <row r="459" ht="13.5" customHeight="1">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row>
    <row r="460" ht="13.5" customHeight="1">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row>
    <row r="461" ht="13.5" customHeight="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row>
    <row r="462" ht="13.5" customHeight="1">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row>
    <row r="463" ht="13.5" customHeight="1">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row>
    <row r="464" ht="13.5" customHeight="1">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row>
    <row r="465" ht="13.5" customHeight="1">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row>
    <row r="466" ht="13.5" customHeight="1">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row>
    <row r="467" ht="13.5" customHeight="1">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row>
    <row r="468" ht="13.5" customHeight="1">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row>
    <row r="469" ht="13.5" customHeight="1">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row>
    <row r="470" ht="13.5" customHeight="1">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row>
    <row r="471" ht="13.5" customHeight="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row>
    <row r="472" ht="13.5" customHeight="1">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row>
    <row r="473" ht="13.5" customHeight="1">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row>
    <row r="474" ht="13.5" customHeight="1">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row>
    <row r="475" ht="13.5" customHeight="1">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row>
    <row r="476" ht="13.5" customHeight="1">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row>
    <row r="477" ht="13.5" customHeight="1">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row>
    <row r="478" ht="13.5" customHeight="1">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row>
    <row r="479" ht="13.5" customHeight="1">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row>
    <row r="480" ht="13.5" customHeight="1">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row>
    <row r="481" ht="13.5" customHeight="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row>
    <row r="482" ht="13.5" customHeight="1">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row>
    <row r="483" ht="13.5" customHeight="1">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row>
    <row r="484" ht="13.5" customHeight="1">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row>
    <row r="485" ht="13.5" customHeight="1">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row>
    <row r="486" ht="13.5" customHeight="1">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row>
    <row r="487" ht="13.5" customHeight="1">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row>
    <row r="488" ht="13.5" customHeight="1">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row>
    <row r="489" ht="13.5" customHeight="1">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row>
    <row r="490" ht="13.5" customHeight="1">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row>
    <row r="491" ht="13.5" customHeight="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row>
    <row r="492" ht="13.5" customHeight="1">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row>
    <row r="493" ht="13.5" customHeight="1">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row>
    <row r="494" ht="13.5" customHeight="1">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row>
    <row r="495" ht="13.5" customHeight="1">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row>
    <row r="496" ht="13.5" customHeight="1">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row>
    <row r="497" ht="13.5" customHeight="1">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row>
    <row r="498" ht="13.5" customHeight="1">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row>
    <row r="499" ht="13.5" customHeight="1">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row>
    <row r="500" ht="13.5" customHeight="1">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row>
    <row r="501" ht="13.5" customHeight="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row>
    <row r="502" ht="13.5" customHeight="1">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row>
    <row r="503" ht="13.5" customHeight="1">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row>
    <row r="504" ht="13.5" customHeight="1">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row>
    <row r="505" ht="13.5" customHeight="1">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row>
    <row r="506" ht="13.5" customHeight="1">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row>
    <row r="507" ht="13.5" customHeight="1">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row>
    <row r="508" ht="13.5" customHeight="1">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row>
    <row r="509" ht="13.5" customHeight="1">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row>
    <row r="510" ht="13.5" customHeight="1">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row>
    <row r="511" ht="13.5" customHeight="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row>
    <row r="512" ht="13.5" customHeight="1">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row>
    <row r="513" ht="13.5" customHeight="1">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row>
    <row r="514" ht="13.5" customHeight="1">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row>
    <row r="515" ht="13.5" customHeight="1">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row>
    <row r="516" ht="13.5" customHeight="1">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row>
    <row r="517" ht="13.5" customHeight="1">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row>
    <row r="518" ht="13.5" customHeight="1">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row>
    <row r="519" ht="13.5" customHeight="1">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row>
    <row r="520" ht="13.5" customHeight="1">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row>
    <row r="521" ht="13.5" customHeight="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row>
    <row r="522" ht="13.5" customHeight="1">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row>
    <row r="523" ht="13.5" customHeight="1">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row>
    <row r="524" ht="13.5" customHeight="1">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row>
    <row r="525" ht="13.5" customHeight="1">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row>
    <row r="526" ht="13.5" customHeight="1">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row>
    <row r="527" ht="13.5" customHeight="1">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row>
    <row r="528" ht="13.5" customHeight="1">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row>
    <row r="529" ht="13.5" customHeight="1">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row>
    <row r="530" ht="13.5" customHeight="1">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row>
    <row r="531" ht="13.5" customHeight="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row>
    <row r="532" ht="13.5" customHeight="1">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row>
    <row r="533" ht="13.5" customHeight="1">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row>
    <row r="534" ht="13.5" customHeight="1">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row>
    <row r="535" ht="13.5" customHeight="1">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row>
    <row r="536" ht="13.5" customHeight="1">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row>
    <row r="537" ht="13.5" customHeight="1">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row>
    <row r="538" ht="13.5" customHeight="1">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row>
    <row r="539" ht="13.5" customHeight="1">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row>
    <row r="540" ht="13.5" customHeight="1">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row>
    <row r="541" ht="13.5" customHeight="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row>
    <row r="542" ht="13.5" customHeight="1">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row>
    <row r="543" ht="13.5" customHeight="1">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row>
    <row r="544" ht="13.5" customHeight="1">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row>
    <row r="545" ht="13.5" customHeight="1">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row>
    <row r="546" ht="13.5" customHeight="1">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row>
    <row r="547" ht="13.5" customHeight="1">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row>
    <row r="548" ht="13.5" customHeight="1">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row>
    <row r="549" ht="13.5" customHeight="1">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row>
    <row r="550" ht="13.5" customHeight="1">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row>
    <row r="551" ht="13.5" customHeight="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row>
    <row r="552" ht="13.5" customHeight="1">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row>
    <row r="553" ht="13.5" customHeight="1">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row>
    <row r="554" ht="13.5" customHeight="1">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row>
    <row r="555" ht="13.5" customHeight="1">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row>
    <row r="556" ht="13.5" customHeight="1">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row>
    <row r="557" ht="13.5" customHeight="1">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row>
    <row r="558" ht="13.5" customHeight="1">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row>
    <row r="559" ht="13.5" customHeight="1">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row>
    <row r="560" ht="13.5" customHeight="1">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row>
    <row r="561" ht="13.5" customHeight="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row>
    <row r="562" ht="13.5" customHeight="1">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row>
    <row r="563" ht="13.5" customHeight="1">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row>
    <row r="564" ht="13.5" customHeight="1">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row>
    <row r="565" ht="13.5" customHeight="1">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row>
    <row r="566" ht="13.5" customHeight="1">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row>
    <row r="567" ht="13.5" customHeight="1">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row>
    <row r="568" ht="13.5" customHeight="1">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row>
    <row r="569" ht="13.5" customHeight="1">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row>
    <row r="570" ht="13.5" customHeight="1">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row>
    <row r="571" ht="13.5" customHeight="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row>
    <row r="572" ht="13.5" customHeight="1">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row>
    <row r="573" ht="13.5" customHeight="1">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row>
    <row r="574" ht="13.5" customHeight="1">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row>
    <row r="575" ht="13.5" customHeight="1">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row>
    <row r="576" ht="13.5" customHeight="1">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row>
    <row r="577" ht="13.5" customHeight="1">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row>
    <row r="578" ht="13.5" customHeight="1">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row>
    <row r="579" ht="13.5" customHeight="1">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row>
    <row r="580" ht="13.5" customHeight="1">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row>
    <row r="581" ht="13.5" customHeight="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row>
    <row r="582" ht="13.5" customHeight="1">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row>
    <row r="583" ht="13.5" customHeight="1">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row>
    <row r="584" ht="13.5" customHeight="1">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row>
    <row r="585" ht="13.5" customHeight="1">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row>
    <row r="586" ht="13.5" customHeight="1">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row>
    <row r="587" ht="13.5" customHeight="1">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row>
    <row r="588" ht="13.5" customHeight="1">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row>
    <row r="589" ht="13.5" customHeight="1">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row>
    <row r="590" ht="13.5" customHeight="1">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row>
    <row r="591" ht="13.5" customHeight="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row>
    <row r="592" ht="13.5" customHeight="1">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row>
    <row r="593" ht="13.5" customHeight="1">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row>
    <row r="594" ht="13.5" customHeight="1">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row>
    <row r="595" ht="13.5" customHeight="1">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row>
    <row r="596" ht="13.5" customHeight="1">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row>
    <row r="597" ht="13.5" customHeight="1">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row>
    <row r="598" ht="13.5" customHeight="1">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row>
    <row r="599" ht="13.5" customHeight="1">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row>
    <row r="600" ht="13.5" customHeight="1">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row>
    <row r="601" ht="13.5" customHeight="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row>
    <row r="602" ht="13.5" customHeight="1">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row>
    <row r="603" ht="13.5" customHeight="1">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row>
    <row r="604" ht="13.5" customHeight="1">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row>
    <row r="605" ht="13.5" customHeight="1">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row>
    <row r="606" ht="13.5" customHeight="1">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row>
    <row r="607" ht="13.5" customHeight="1">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row>
    <row r="608" ht="13.5" customHeight="1">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row>
    <row r="609" ht="13.5" customHeight="1">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row>
    <row r="610" ht="13.5" customHeight="1">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row>
    <row r="611" ht="13.5" customHeight="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row>
    <row r="612" ht="13.5" customHeight="1">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row>
    <row r="613" ht="13.5" customHeight="1">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row>
    <row r="614" ht="13.5" customHeight="1">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row>
    <row r="615" ht="13.5" customHeight="1">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row>
    <row r="616" ht="13.5" customHeight="1">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row>
    <row r="617" ht="13.5" customHeight="1">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row>
    <row r="618" ht="13.5" customHeight="1">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row>
    <row r="619" ht="13.5" customHeight="1">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row>
    <row r="620" ht="13.5" customHeight="1">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row>
    <row r="621" ht="13.5" customHeight="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row>
    <row r="622" ht="13.5" customHeight="1">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row>
    <row r="623" ht="13.5" customHeight="1">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row>
    <row r="624" ht="13.5" customHeight="1">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row>
    <row r="625" ht="13.5" customHeight="1">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row>
    <row r="626" ht="13.5" customHeight="1">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row>
    <row r="627" ht="13.5" customHeight="1">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row>
    <row r="628" ht="13.5" customHeight="1">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row>
    <row r="629" ht="13.5" customHeight="1">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row>
    <row r="630" ht="13.5" customHeight="1">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row>
    <row r="631" ht="13.5" customHeight="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row>
    <row r="632" ht="13.5" customHeight="1">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row>
    <row r="633" ht="13.5" customHeight="1">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row>
    <row r="634" ht="13.5" customHeight="1">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row>
    <row r="635" ht="13.5" customHeight="1">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row>
    <row r="636" ht="13.5" customHeight="1">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row>
    <row r="637" ht="13.5" customHeight="1">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row>
    <row r="638" ht="13.5" customHeight="1">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row>
    <row r="639" ht="13.5" customHeight="1">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row>
    <row r="640" ht="13.5" customHeight="1">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row>
    <row r="641" ht="13.5" customHeight="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row>
    <row r="642" ht="13.5" customHeight="1">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row>
    <row r="643" ht="13.5" customHeight="1">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row>
    <row r="644" ht="13.5" customHeight="1">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row>
    <row r="645" ht="13.5" customHeight="1">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row>
    <row r="646" ht="13.5" customHeight="1">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row>
    <row r="647" ht="13.5" customHeight="1">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row>
    <row r="648" ht="13.5" customHeight="1">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row>
    <row r="649" ht="13.5" customHeight="1">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row>
    <row r="650" ht="13.5" customHeight="1">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row>
    <row r="651" ht="13.5" customHeight="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row>
    <row r="652" ht="13.5" customHeight="1">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row>
    <row r="653" ht="13.5" customHeight="1">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row>
    <row r="654" ht="13.5" customHeight="1">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row>
    <row r="655" ht="13.5" customHeight="1">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row>
    <row r="656" ht="13.5" customHeight="1">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row>
    <row r="657" ht="13.5" customHeight="1">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row>
    <row r="658" ht="13.5" customHeight="1">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row>
    <row r="659" ht="13.5" customHeight="1">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row>
    <row r="660" ht="13.5" customHeight="1">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row>
    <row r="661" ht="13.5" customHeight="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row>
    <row r="662" ht="13.5" customHeight="1">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row>
    <row r="663" ht="13.5" customHeight="1">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row>
    <row r="664" ht="13.5" customHeight="1">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row>
    <row r="665" ht="13.5" customHeight="1">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row>
    <row r="666" ht="13.5" customHeight="1">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row>
    <row r="667" ht="13.5" customHeight="1">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row>
    <row r="668" ht="13.5" customHeight="1">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row>
    <row r="669" ht="13.5" customHeight="1">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row>
    <row r="670" ht="13.5" customHeight="1">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row>
    <row r="671" ht="13.5" customHeight="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row>
    <row r="672" ht="13.5" customHeight="1">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row>
    <row r="673" ht="13.5" customHeight="1">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row>
    <row r="674" ht="13.5" customHeight="1">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row>
    <row r="675" ht="13.5" customHeight="1">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row>
    <row r="676" ht="13.5" customHeight="1">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row>
    <row r="677" ht="13.5" customHeight="1">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row>
    <row r="678" ht="13.5" customHeight="1">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row>
    <row r="679" ht="13.5" customHeight="1">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row>
    <row r="680" ht="13.5" customHeight="1">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row>
    <row r="681" ht="13.5" customHeight="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row>
    <row r="682" ht="13.5" customHeight="1">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row>
    <row r="683" ht="13.5" customHeight="1">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row>
    <row r="684" ht="13.5" customHeight="1">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row>
    <row r="685" ht="13.5" customHeight="1">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row>
    <row r="686" ht="13.5" customHeight="1">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row>
    <row r="687" ht="13.5" customHeight="1">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row>
    <row r="688" ht="13.5" customHeight="1">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row>
    <row r="689" ht="13.5" customHeight="1">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row>
    <row r="690" ht="13.5" customHeight="1">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row>
    <row r="691" ht="13.5" customHeight="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row>
    <row r="692" ht="13.5" customHeight="1">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row>
    <row r="693" ht="13.5" customHeight="1">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row>
    <row r="694" ht="13.5" customHeight="1">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row>
    <row r="695" ht="13.5" customHeight="1">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row>
    <row r="696" ht="13.5" customHeight="1">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row>
    <row r="697" ht="13.5" customHeight="1">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row>
    <row r="698" ht="13.5" customHeight="1">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row>
    <row r="699" ht="13.5" customHeight="1">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row>
    <row r="700" ht="13.5" customHeight="1">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row>
    <row r="701" ht="13.5" customHeight="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row>
    <row r="702" ht="13.5" customHeight="1">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row>
    <row r="703" ht="13.5" customHeight="1">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row>
    <row r="704" ht="13.5" customHeight="1">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row>
    <row r="705" ht="13.5" customHeight="1">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row>
    <row r="706" ht="13.5" customHeight="1">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row>
    <row r="707" ht="13.5" customHeight="1">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row>
    <row r="708" ht="13.5" customHeight="1">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row>
    <row r="709" ht="13.5" customHeight="1">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row>
    <row r="710" ht="13.5" customHeight="1">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row>
    <row r="711" ht="13.5" customHeight="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row>
    <row r="712" ht="13.5" customHeight="1">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row>
    <row r="713" ht="13.5" customHeight="1">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row>
    <row r="714" ht="13.5" customHeight="1">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row>
    <row r="715" ht="13.5" customHeight="1">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row>
    <row r="716" ht="13.5" customHeight="1">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row>
    <row r="717" ht="13.5" customHeight="1">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row>
    <row r="718" ht="13.5" customHeight="1">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row>
    <row r="719" ht="13.5" customHeight="1">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row>
    <row r="720" ht="13.5" customHeight="1">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row>
    <row r="721" ht="13.5" customHeight="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row>
    <row r="722" ht="13.5" customHeight="1">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row>
    <row r="723" ht="13.5" customHeight="1">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row>
    <row r="724" ht="13.5" customHeight="1">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row>
    <row r="725" ht="13.5" customHeight="1">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row>
    <row r="726" ht="13.5" customHeight="1">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row>
    <row r="727" ht="13.5" customHeight="1">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row>
    <row r="728" ht="13.5" customHeight="1">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row>
    <row r="729" ht="13.5" customHeight="1">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row>
    <row r="730" ht="13.5" customHeight="1">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row>
    <row r="731" ht="13.5" customHeight="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row>
    <row r="732" ht="13.5" customHeight="1">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row>
    <row r="733" ht="13.5" customHeight="1">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row>
    <row r="734" ht="13.5" customHeight="1">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row>
    <row r="735" ht="13.5" customHeight="1">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row>
    <row r="736" ht="13.5" customHeight="1">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row>
    <row r="737" ht="13.5" customHeight="1">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row>
    <row r="738" ht="13.5" customHeight="1">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row>
    <row r="739" ht="13.5" customHeight="1">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row>
    <row r="740" ht="13.5" customHeight="1">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row>
    <row r="741" ht="13.5" customHeight="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row>
    <row r="742" ht="13.5" customHeight="1">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row>
    <row r="743" ht="13.5" customHeight="1">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row>
    <row r="744" ht="13.5" customHeight="1">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row>
    <row r="745" ht="13.5" customHeight="1">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row>
    <row r="746" ht="13.5" customHeight="1">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row>
    <row r="747" ht="13.5" customHeight="1">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row>
    <row r="748" ht="13.5" customHeight="1">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row>
    <row r="749" ht="13.5" customHeight="1">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row>
    <row r="750" ht="13.5" customHeight="1">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row>
    <row r="751" ht="13.5" customHeight="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row>
    <row r="752" ht="13.5" customHeight="1">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row>
    <row r="753" ht="13.5" customHeight="1">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row>
    <row r="754" ht="13.5" customHeight="1">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row>
    <row r="755" ht="13.5" customHeight="1">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row>
    <row r="756" ht="13.5" customHeight="1">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row>
    <row r="757" ht="13.5" customHeight="1">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row>
    <row r="758" ht="13.5" customHeight="1">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row>
    <row r="759" ht="13.5" customHeight="1">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row>
    <row r="760" ht="13.5" customHeight="1">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row>
    <row r="761" ht="13.5" customHeight="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row>
    <row r="762" ht="13.5" customHeight="1">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row>
    <row r="763" ht="13.5" customHeight="1">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row>
    <row r="764" ht="13.5" customHeight="1">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row>
    <row r="765" ht="13.5" customHeight="1">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row>
    <row r="766" ht="13.5" customHeight="1">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row>
    <row r="767" ht="13.5" customHeight="1">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row>
    <row r="768" ht="13.5" customHeight="1">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row>
    <row r="769" ht="13.5" customHeight="1">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row>
    <row r="770" ht="13.5" customHeight="1">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row>
    <row r="771" ht="13.5" customHeight="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row>
    <row r="772" ht="13.5" customHeight="1">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row>
    <row r="773" ht="13.5" customHeight="1">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row>
    <row r="774" ht="13.5" customHeight="1">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row>
    <row r="775" ht="13.5" customHeight="1">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row>
    <row r="776" ht="13.5" customHeight="1">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row>
    <row r="777" ht="13.5" customHeight="1">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row>
    <row r="778" ht="13.5" customHeight="1">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row>
    <row r="779" ht="13.5" customHeight="1">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row>
    <row r="780" ht="13.5" customHeight="1">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row>
    <row r="781" ht="13.5" customHeight="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row>
    <row r="782" ht="13.5" customHeight="1">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row>
    <row r="783" ht="13.5" customHeight="1">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row>
    <row r="784" ht="13.5" customHeight="1">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row>
    <row r="785" ht="13.5" customHeight="1">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row>
    <row r="786" ht="13.5" customHeight="1">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row>
    <row r="787" ht="13.5" customHeight="1">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row>
    <row r="788" ht="13.5" customHeight="1">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row>
    <row r="789" ht="13.5" customHeight="1">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row>
    <row r="790" ht="13.5" customHeight="1">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row>
    <row r="791" ht="13.5" customHeight="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row>
    <row r="792" ht="13.5" customHeight="1">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row>
    <row r="793" ht="13.5" customHeight="1">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row>
    <row r="794" ht="13.5" customHeight="1">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row>
    <row r="795" ht="13.5" customHeight="1">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row>
    <row r="796" ht="13.5" customHeight="1">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row>
    <row r="797" ht="13.5" customHeight="1">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row>
    <row r="798" ht="13.5" customHeight="1">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row>
    <row r="799" ht="13.5" customHeight="1">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row>
    <row r="800" ht="13.5" customHeight="1">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row>
    <row r="801" ht="13.5" customHeight="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row>
    <row r="802" ht="13.5" customHeight="1">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row>
    <row r="803" ht="13.5" customHeight="1">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row>
    <row r="804" ht="13.5" customHeight="1">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row>
    <row r="805" ht="13.5" customHeight="1">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row>
    <row r="806" ht="13.5" customHeight="1">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row>
    <row r="807" ht="13.5" customHeight="1">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row>
    <row r="808" ht="13.5" customHeight="1">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row>
    <row r="809" ht="13.5" customHeight="1">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row>
    <row r="810" ht="13.5" customHeight="1">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row>
    <row r="811" ht="13.5" customHeight="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row>
    <row r="812" ht="13.5" customHeight="1">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row>
    <row r="813" ht="13.5" customHeight="1">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row>
    <row r="814" ht="13.5" customHeight="1">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row>
    <row r="815" ht="13.5" customHeight="1">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row>
    <row r="816" ht="13.5" customHeight="1">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row>
    <row r="817" ht="13.5" customHeight="1">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row>
    <row r="818" ht="13.5" customHeight="1">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row>
    <row r="819" ht="13.5" customHeight="1">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row>
    <row r="820" ht="13.5" customHeight="1">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row>
    <row r="821" ht="13.5" customHeight="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row>
    <row r="822" ht="13.5" customHeight="1">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row>
    <row r="823" ht="13.5" customHeight="1">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row>
    <row r="824" ht="13.5" customHeight="1">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row>
    <row r="825" ht="13.5" customHeight="1">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row>
    <row r="826" ht="13.5" customHeight="1">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row>
    <row r="827" ht="13.5" customHeight="1">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row>
    <row r="828" ht="13.5" customHeight="1">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row>
    <row r="829" ht="13.5" customHeight="1">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row>
    <row r="830" ht="13.5" customHeight="1">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row>
    <row r="831" ht="13.5" customHeight="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row>
    <row r="832" ht="13.5" customHeight="1">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row>
    <row r="833" ht="13.5" customHeight="1">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row>
    <row r="834" ht="13.5" customHeight="1">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row>
    <row r="835" ht="13.5" customHeight="1">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row>
    <row r="836" ht="13.5" customHeight="1">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row>
    <row r="837" ht="13.5" customHeight="1">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row>
    <row r="838" ht="13.5" customHeight="1">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row>
    <row r="839" ht="13.5" customHeight="1">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row>
    <row r="840" ht="13.5" customHeight="1">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row>
    <row r="841" ht="13.5" customHeight="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row>
    <row r="842" ht="13.5" customHeight="1">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row>
    <row r="843" ht="13.5" customHeight="1">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row>
    <row r="844" ht="13.5" customHeight="1">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row>
    <row r="845" ht="13.5" customHeight="1">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row>
    <row r="846" ht="13.5" customHeight="1">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row>
    <row r="847" ht="13.5" customHeight="1">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row>
    <row r="848" ht="13.5" customHeight="1">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row>
    <row r="849" ht="13.5" customHeight="1">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row>
    <row r="850" ht="13.5" customHeight="1">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row>
    <row r="851" ht="13.5" customHeight="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row>
    <row r="852" ht="13.5" customHeight="1">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row>
    <row r="853" ht="13.5" customHeight="1">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row>
    <row r="854" ht="13.5" customHeight="1">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row>
    <row r="855" ht="13.5" customHeight="1">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row>
    <row r="856" ht="13.5" customHeight="1">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row>
    <row r="857" ht="13.5" customHeight="1">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row>
    <row r="858" ht="13.5" customHeight="1">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row>
    <row r="859" ht="13.5" customHeight="1">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row>
    <row r="860" ht="13.5" customHeight="1">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row>
    <row r="861" ht="13.5" customHeight="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row>
    <row r="862" ht="13.5" customHeight="1">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row>
    <row r="863" ht="13.5" customHeight="1">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row>
    <row r="864" ht="13.5" customHeight="1">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row>
    <row r="865" ht="13.5" customHeight="1">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row>
    <row r="866" ht="13.5" customHeight="1">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row>
    <row r="867" ht="13.5" customHeight="1">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row>
    <row r="868" ht="13.5" customHeight="1">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row>
    <row r="869" ht="13.5" customHeight="1">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row>
    <row r="870" ht="13.5" customHeight="1">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row>
    <row r="871" ht="13.5" customHeight="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row>
    <row r="872" ht="13.5" customHeight="1">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row>
    <row r="873" ht="13.5" customHeight="1">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row>
    <row r="874" ht="13.5" customHeight="1">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row>
    <row r="875" ht="13.5" customHeight="1">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row>
    <row r="876" ht="13.5" customHeight="1">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row>
    <row r="877" ht="13.5" customHeight="1">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row>
    <row r="878" ht="13.5" customHeight="1">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row>
    <row r="879" ht="13.5" customHeight="1">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row>
    <row r="880" ht="13.5" customHeight="1">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row>
    <row r="881" ht="13.5" customHeight="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row>
    <row r="882" ht="13.5" customHeight="1">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row>
    <row r="883" ht="13.5" customHeight="1">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row>
    <row r="884" ht="13.5" customHeight="1">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row>
    <row r="885" ht="13.5" customHeight="1">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row>
    <row r="886" ht="13.5" customHeight="1">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row>
    <row r="887" ht="13.5" customHeight="1">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row>
    <row r="888" ht="13.5" customHeight="1">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row>
    <row r="889" ht="13.5" customHeight="1">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row>
    <row r="890" ht="13.5" customHeight="1">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row>
    <row r="891" ht="13.5" customHeight="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row>
    <row r="892" ht="13.5" customHeight="1">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row>
    <row r="893" ht="13.5" customHeight="1">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row>
    <row r="894" ht="13.5" customHeight="1">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row>
    <row r="895" ht="13.5" customHeight="1">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row>
    <row r="896" ht="13.5" customHeight="1">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row>
    <row r="897" ht="13.5" customHeight="1">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row>
    <row r="898" ht="13.5" customHeight="1">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row>
    <row r="899" ht="13.5" customHeight="1">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row>
    <row r="900" ht="13.5" customHeight="1">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row>
    <row r="901" ht="13.5" customHeight="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row>
    <row r="902" ht="13.5" customHeight="1">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row>
    <row r="903" ht="13.5" customHeight="1">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row>
    <row r="904" ht="13.5" customHeight="1">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row>
    <row r="905" ht="13.5" customHeight="1">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row>
    <row r="906" ht="13.5" customHeight="1">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row>
    <row r="907" ht="13.5" customHeight="1">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row>
    <row r="908" ht="13.5" customHeight="1">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row>
    <row r="909" ht="13.5" customHeight="1">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row>
    <row r="910" ht="13.5" customHeight="1">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row>
    <row r="911" ht="13.5" customHeight="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row>
    <row r="912" ht="13.5" customHeight="1">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row>
    <row r="913" ht="13.5" customHeight="1">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row>
    <row r="914" ht="13.5" customHeight="1">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row>
    <row r="915" ht="13.5" customHeight="1">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row>
    <row r="916" ht="13.5" customHeight="1">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row>
    <row r="917" ht="13.5" customHeight="1">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row>
    <row r="918" ht="13.5" customHeight="1">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row>
    <row r="919" ht="13.5" customHeight="1">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row>
    <row r="920" ht="13.5" customHeight="1">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row>
    <row r="921" ht="13.5" customHeight="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row>
    <row r="922" ht="13.5" customHeight="1">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row>
    <row r="923" ht="13.5" customHeight="1">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row>
    <row r="924" ht="13.5" customHeight="1">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row>
    <row r="925" ht="13.5" customHeight="1">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row>
    <row r="926" ht="13.5" customHeight="1">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row>
    <row r="927" ht="13.5" customHeight="1">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row>
    <row r="928" ht="13.5" customHeight="1">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row>
    <row r="929" ht="13.5" customHeight="1">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row>
    <row r="930" ht="13.5" customHeight="1">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row>
    <row r="931" ht="13.5" customHeight="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row>
    <row r="932" ht="13.5" customHeight="1">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row>
    <row r="933" ht="13.5" customHeight="1">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row>
    <row r="934" ht="13.5" customHeight="1">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row>
    <row r="935" ht="13.5" customHeight="1">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row>
    <row r="936" ht="13.5" customHeight="1">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row>
    <row r="937" ht="13.5" customHeight="1">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row>
    <row r="938" ht="13.5" customHeight="1">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row>
    <row r="939" ht="13.5" customHeight="1">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row>
    <row r="940" ht="13.5" customHeight="1">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row>
    <row r="941" ht="13.5" customHeight="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row>
    <row r="942" ht="13.5" customHeight="1">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row>
    <row r="943" ht="13.5" customHeight="1">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row>
    <row r="944" ht="13.5" customHeight="1">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row>
    <row r="945" ht="13.5" customHeight="1">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row>
    <row r="946" ht="13.5" customHeight="1">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row>
    <row r="947" ht="13.5" customHeight="1">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row>
    <row r="948" ht="13.5" customHeight="1">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row>
    <row r="949" ht="13.5" customHeight="1">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row>
    <row r="950" ht="13.5" customHeight="1">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row>
    <row r="951" ht="13.5" customHeight="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row>
    <row r="952" ht="13.5" customHeight="1">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row>
    <row r="953" ht="13.5" customHeight="1">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row>
    <row r="954" ht="13.5" customHeight="1">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row>
    <row r="955" ht="13.5" customHeight="1">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row>
    <row r="956" ht="13.5" customHeight="1">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row>
    <row r="957" ht="13.5" customHeight="1">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row>
    <row r="958" ht="13.5" customHeight="1">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row>
    <row r="959" ht="13.5" customHeight="1">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row>
    <row r="960" ht="13.5" customHeight="1">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row>
    <row r="961" ht="13.5" customHeight="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row>
    <row r="962" ht="13.5" customHeight="1">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row>
    <row r="963" ht="13.5" customHeight="1">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row>
    <row r="964" ht="13.5" customHeight="1">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row>
    <row r="965" ht="13.5" customHeight="1">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row>
    <row r="966" ht="13.5" customHeight="1">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row>
    <row r="967" ht="13.5" customHeight="1">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row>
    <row r="968" ht="13.5" customHeight="1">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row>
    <row r="969" ht="13.5" customHeight="1">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row>
    <row r="970" ht="13.5" customHeight="1">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row>
    <row r="971" ht="13.5" customHeight="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row>
    <row r="972" ht="13.5" customHeight="1">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row>
    <row r="973" ht="13.5" customHeight="1">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row>
    <row r="974" ht="13.5" customHeight="1">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row>
    <row r="975" ht="13.5" customHeight="1">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row>
    <row r="976" ht="13.5" customHeight="1">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row>
    <row r="977" ht="13.5" customHeight="1">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row>
    <row r="978" ht="13.5" customHeight="1">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row>
    <row r="979" ht="13.5" customHeight="1">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row>
    <row r="980" ht="13.5" customHeight="1">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row>
    <row r="981" ht="13.5" customHeight="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row>
    <row r="982" ht="13.5" customHeight="1">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row>
    <row r="983" ht="13.5" customHeight="1">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row>
    <row r="984" ht="13.5" customHeight="1">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row>
    <row r="985" ht="13.5" customHeight="1">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row>
    <row r="986" ht="13.5" customHeight="1">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row>
    <row r="987" ht="13.5" customHeight="1">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row>
    <row r="988" ht="13.5" customHeight="1">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row>
    <row r="989" ht="13.5" customHeight="1">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row>
    <row r="990" ht="13.5" customHeight="1">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row>
    <row r="991" ht="13.5" customHeight="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row>
    <row r="992" ht="13.5" customHeight="1">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row>
    <row r="993" ht="13.5" customHeight="1">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row>
    <row r="994" ht="13.5" customHeight="1">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row>
    <row r="995" ht="13.5" customHeight="1">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row>
    <row r="996" ht="13.5" customHeight="1">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row>
    <row r="997" ht="13.5" customHeight="1">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row>
    <row r="998" ht="13.5" customHeight="1">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row>
    <row r="999" ht="13.5" customHeight="1">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row>
    <row r="1000" ht="13.5" customHeight="1">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c r="AB1000" s="124"/>
    </row>
  </sheetData>
  <mergeCells count="2">
    <mergeCell ref="E2:J4"/>
    <mergeCell ref="W4:AA5"/>
  </mergeCells>
  <printOptions/>
  <pageMargins bottom="0.75" footer="0.0" header="0.0" left="0.7" right="0.7" top="0.75"/>
  <pageSetup orientation="landscape"/>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13.86"/>
    <col customWidth="1" min="4" max="4" width="26.86"/>
    <col customWidth="1" min="5" max="5" width="15.86"/>
    <col customWidth="1" min="6" max="6" width="20.71"/>
    <col customWidth="1" min="7" max="7" width="32.71"/>
    <col customWidth="1" min="8" max="8" width="29.43"/>
    <col customWidth="1" min="9" max="9" width="22.14"/>
    <col customWidth="1" min="10" max="10" width="14.57"/>
    <col customWidth="1" min="11" max="13" width="8.86"/>
    <col customWidth="1" min="14" max="14" width="28.86"/>
    <col customWidth="1" min="15" max="15" width="20.57"/>
    <col customWidth="1" min="16" max="16" width="24.86"/>
    <col customWidth="1" min="17" max="17" width="15.86"/>
    <col customWidth="1" min="18" max="23" width="8.86"/>
    <col customWidth="1" min="24" max="24" width="14.0"/>
    <col customWidth="1" min="25" max="25" width="17.86"/>
    <col customWidth="1" min="26" max="26" width="15.57"/>
    <col customWidth="1" min="27" max="27" width="28.57"/>
    <col customWidth="1" min="28" max="28" width="16.43"/>
  </cols>
  <sheetData>
    <row r="1" ht="13.5" customHeight="1">
      <c r="A1" s="124"/>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row>
    <row r="2" ht="13.5" customHeight="1">
      <c r="A2" s="124"/>
      <c r="B2" s="124"/>
      <c r="C2" s="124"/>
      <c r="D2" s="124"/>
      <c r="E2" s="150" t="s">
        <v>853</v>
      </c>
      <c r="F2" s="79"/>
      <c r="G2" s="79"/>
      <c r="H2" s="79"/>
      <c r="I2" s="79"/>
      <c r="J2" s="80"/>
      <c r="K2" s="124"/>
      <c r="L2" s="124"/>
      <c r="M2" s="124"/>
      <c r="N2" s="124"/>
      <c r="O2" s="124"/>
      <c r="P2" s="124"/>
      <c r="Q2" s="124"/>
      <c r="R2" s="124"/>
      <c r="S2" s="124"/>
      <c r="T2" s="124"/>
      <c r="U2" s="124"/>
      <c r="V2" s="124"/>
      <c r="W2" s="124"/>
      <c r="X2" s="124"/>
      <c r="Y2" s="124"/>
      <c r="Z2" s="124"/>
      <c r="AA2" s="124"/>
      <c r="AB2" s="124"/>
    </row>
    <row r="3" ht="13.5" customHeight="1">
      <c r="A3" s="124"/>
      <c r="B3" s="124"/>
      <c r="C3" s="124"/>
      <c r="D3" s="124"/>
      <c r="E3" s="81"/>
      <c r="J3" s="82"/>
      <c r="K3" s="124"/>
      <c r="L3" s="124"/>
      <c r="M3" s="124"/>
      <c r="N3" s="124"/>
      <c r="O3" s="124"/>
      <c r="P3" s="124"/>
      <c r="Q3" s="124"/>
      <c r="R3" s="124"/>
      <c r="S3" s="124"/>
      <c r="T3" s="124"/>
      <c r="U3" s="124"/>
      <c r="V3" s="124"/>
      <c r="W3" s="124"/>
      <c r="X3" s="124"/>
      <c r="Y3" s="124"/>
      <c r="Z3" s="124"/>
      <c r="AA3" s="124"/>
      <c r="AB3" s="124"/>
    </row>
    <row r="4" ht="13.5" customHeight="1">
      <c r="A4" s="124"/>
      <c r="B4" s="124"/>
      <c r="C4" s="124"/>
      <c r="D4" s="124"/>
      <c r="E4" s="83"/>
      <c r="F4" s="84"/>
      <c r="G4" s="84"/>
      <c r="H4" s="84"/>
      <c r="I4" s="84"/>
      <c r="J4" s="85"/>
      <c r="K4" s="124"/>
      <c r="L4" s="124"/>
      <c r="M4" s="124"/>
      <c r="N4" s="124"/>
      <c r="O4" s="124"/>
      <c r="P4" s="124"/>
      <c r="Q4" s="124"/>
      <c r="R4" s="124"/>
      <c r="S4" s="124"/>
      <c r="T4" s="124"/>
      <c r="U4" s="124"/>
      <c r="V4" s="124"/>
      <c r="W4" s="86" t="s">
        <v>615</v>
      </c>
      <c r="X4" s="79"/>
      <c r="Y4" s="79"/>
      <c r="Z4" s="79"/>
      <c r="AA4" s="80"/>
      <c r="AB4" s="124"/>
    </row>
    <row r="5" ht="13.5" customHeight="1">
      <c r="A5" s="124"/>
      <c r="B5" s="124"/>
      <c r="C5" s="124"/>
      <c r="D5" s="124"/>
      <c r="E5" s="124"/>
      <c r="F5" s="124"/>
      <c r="G5" s="124"/>
      <c r="H5" s="124"/>
      <c r="I5" s="124"/>
      <c r="J5" s="124"/>
      <c r="K5" s="124"/>
      <c r="L5" s="124"/>
      <c r="M5" s="124"/>
      <c r="N5" s="124"/>
      <c r="O5" s="124"/>
      <c r="P5" s="124"/>
      <c r="Q5" s="124"/>
      <c r="R5" s="124"/>
      <c r="S5" s="124"/>
      <c r="T5" s="124"/>
      <c r="U5" s="124"/>
      <c r="V5" s="124"/>
      <c r="W5" s="83"/>
      <c r="X5" s="84"/>
      <c r="Y5" s="84"/>
      <c r="Z5" s="84"/>
      <c r="AA5" s="85"/>
      <c r="AB5" s="124"/>
    </row>
    <row r="6" ht="13.5" customHeight="1">
      <c r="A6" s="124"/>
      <c r="B6" s="124"/>
      <c r="C6" s="120" t="s">
        <v>293</v>
      </c>
      <c r="D6" s="121" t="s">
        <v>295</v>
      </c>
      <c r="E6" s="121" t="s">
        <v>296</v>
      </c>
      <c r="F6" s="121" t="s">
        <v>297</v>
      </c>
      <c r="G6" s="121" t="s">
        <v>709</v>
      </c>
      <c r="H6" s="121" t="s">
        <v>298</v>
      </c>
      <c r="I6" s="121" t="s">
        <v>299</v>
      </c>
      <c r="J6" s="121" t="s">
        <v>619</v>
      </c>
      <c r="K6" s="122" t="s">
        <v>301</v>
      </c>
      <c r="L6" s="122" t="s">
        <v>681</v>
      </c>
      <c r="M6" s="122" t="s">
        <v>682</v>
      </c>
      <c r="N6" s="122" t="s">
        <v>621</v>
      </c>
      <c r="O6" s="122" t="s">
        <v>405</v>
      </c>
      <c r="P6" s="123" t="s">
        <v>622</v>
      </c>
      <c r="Q6" s="88" t="s">
        <v>624</v>
      </c>
      <c r="R6" s="92"/>
      <c r="S6" s="92"/>
      <c r="T6" s="92"/>
      <c r="U6" s="124"/>
      <c r="V6" s="124"/>
      <c r="W6" s="92" t="s">
        <v>636</v>
      </c>
      <c r="X6" s="92" t="s">
        <v>854</v>
      </c>
      <c r="Y6" s="125" t="s">
        <v>855</v>
      </c>
      <c r="Z6" s="92" t="s">
        <v>856</v>
      </c>
      <c r="AA6" s="124"/>
      <c r="AB6" s="124"/>
    </row>
    <row r="7" ht="13.5" customHeight="1">
      <c r="A7" s="124"/>
      <c r="B7" s="124"/>
      <c r="C7" s="124">
        <v>1.0</v>
      </c>
      <c r="D7" s="91" t="s">
        <v>857</v>
      </c>
      <c r="E7" s="110" t="s">
        <v>304</v>
      </c>
      <c r="F7" s="110" t="s">
        <v>416</v>
      </c>
      <c r="G7" s="127">
        <v>45877.0</v>
      </c>
      <c r="H7" s="110" t="s">
        <v>471</v>
      </c>
      <c r="I7" s="153" t="s">
        <v>714</v>
      </c>
      <c r="J7" s="110">
        <v>70000.0</v>
      </c>
      <c r="K7" s="110">
        <v>20000.0</v>
      </c>
      <c r="L7" s="110">
        <v>20000.0</v>
      </c>
      <c r="M7" s="110"/>
      <c r="N7" s="91" t="s">
        <v>858</v>
      </c>
      <c r="O7" s="110">
        <v>50000.0</v>
      </c>
      <c r="P7" s="110"/>
      <c r="Q7" s="91"/>
      <c r="R7" s="92"/>
      <c r="S7" s="92"/>
      <c r="T7" s="92"/>
      <c r="U7" s="124"/>
      <c r="V7" s="124"/>
      <c r="W7" s="92">
        <v>2500.0</v>
      </c>
      <c r="X7" s="92" t="s">
        <v>859</v>
      </c>
      <c r="Y7" s="125">
        <v>45877.0</v>
      </c>
      <c r="Z7" s="92" t="s">
        <v>304</v>
      </c>
      <c r="AA7" s="124"/>
      <c r="AB7" s="124"/>
    </row>
    <row r="8" ht="13.5" customHeight="1">
      <c r="A8" s="124"/>
      <c r="B8" s="124"/>
      <c r="C8" s="124">
        <v>2.0</v>
      </c>
      <c r="D8" s="91" t="s">
        <v>860</v>
      </c>
      <c r="E8" s="110" t="s">
        <v>355</v>
      </c>
      <c r="F8" s="110" t="s">
        <v>861</v>
      </c>
      <c r="G8" s="127">
        <v>45877.0</v>
      </c>
      <c r="H8" s="110" t="s">
        <v>471</v>
      </c>
      <c r="I8" s="153" t="s">
        <v>714</v>
      </c>
      <c r="J8" s="92">
        <v>23000.0</v>
      </c>
      <c r="K8" s="145">
        <v>15676.0</v>
      </c>
      <c r="L8" s="97">
        <v>15767.0</v>
      </c>
      <c r="M8" s="97"/>
      <c r="N8" s="91" t="s">
        <v>862</v>
      </c>
      <c r="O8" s="110">
        <v>7324.0</v>
      </c>
      <c r="P8" s="110"/>
      <c r="Q8" s="91"/>
      <c r="R8" s="92"/>
      <c r="S8" s="92"/>
      <c r="T8" s="92"/>
      <c r="U8" s="124"/>
      <c r="V8" s="124"/>
      <c r="W8" s="92">
        <v>2000.0</v>
      </c>
      <c r="X8" s="92" t="s">
        <v>309</v>
      </c>
      <c r="Y8" s="185">
        <v>45969.0</v>
      </c>
      <c r="Z8" s="92" t="s">
        <v>355</v>
      </c>
      <c r="AA8" s="124"/>
      <c r="AB8" s="124"/>
    </row>
    <row r="9" ht="13.5" customHeight="1">
      <c r="A9" s="124"/>
      <c r="B9" s="124"/>
      <c r="C9" s="124">
        <v>3.0</v>
      </c>
      <c r="D9" s="91" t="s">
        <v>420</v>
      </c>
      <c r="E9" s="110" t="s">
        <v>863</v>
      </c>
      <c r="F9" s="110" t="s">
        <v>335</v>
      </c>
      <c r="G9" s="154">
        <v>45969.0</v>
      </c>
      <c r="H9" s="110" t="s">
        <v>471</v>
      </c>
      <c r="I9" s="153" t="s">
        <v>864</v>
      </c>
      <c r="J9" s="110">
        <v>10000.0</v>
      </c>
      <c r="K9" s="110" t="s">
        <v>865</v>
      </c>
      <c r="L9" s="110" t="s">
        <v>865</v>
      </c>
      <c r="M9" s="110"/>
      <c r="N9" s="91" t="s">
        <v>862</v>
      </c>
      <c r="O9" s="110">
        <v>7700.0</v>
      </c>
      <c r="P9" s="110" t="s">
        <v>866</v>
      </c>
      <c r="Q9" s="91"/>
      <c r="R9" s="92"/>
      <c r="S9" s="92"/>
      <c r="T9" s="92"/>
      <c r="U9" s="124"/>
      <c r="V9" s="124"/>
      <c r="W9" s="92">
        <v>7607.0</v>
      </c>
      <c r="X9" s="92" t="s">
        <v>475</v>
      </c>
      <c r="Y9" s="185">
        <v>45870.0</v>
      </c>
      <c r="Z9" s="92" t="s">
        <v>638</v>
      </c>
      <c r="AA9" s="124" t="s">
        <v>867</v>
      </c>
      <c r="AB9" s="124"/>
    </row>
    <row r="10" ht="13.5" customHeight="1">
      <c r="A10" s="124"/>
      <c r="B10" s="124"/>
      <c r="C10" s="124">
        <v>4.0</v>
      </c>
      <c r="D10" s="91" t="s">
        <v>868</v>
      </c>
      <c r="E10" s="110" t="s">
        <v>304</v>
      </c>
      <c r="F10" s="110" t="s">
        <v>518</v>
      </c>
      <c r="G10" s="154">
        <v>45999.0</v>
      </c>
      <c r="H10" s="110" t="s">
        <v>471</v>
      </c>
      <c r="I10" s="153" t="s">
        <v>714</v>
      </c>
      <c r="J10" s="110">
        <v>35000.0</v>
      </c>
      <c r="K10" s="110">
        <v>14000.0</v>
      </c>
      <c r="L10" s="110">
        <v>14000.0</v>
      </c>
      <c r="M10" s="110"/>
      <c r="N10" s="91" t="s">
        <v>858</v>
      </c>
      <c r="O10" s="110">
        <v>21000.0</v>
      </c>
      <c r="P10" s="110"/>
      <c r="Q10" s="91"/>
      <c r="R10" s="110"/>
      <c r="S10" s="110"/>
      <c r="T10" s="110"/>
      <c r="U10" s="124"/>
      <c r="V10" s="124"/>
      <c r="W10" s="92">
        <v>17565.0</v>
      </c>
      <c r="X10" s="92" t="s">
        <v>661</v>
      </c>
      <c r="Y10" s="145" t="s">
        <v>869</v>
      </c>
      <c r="Z10" s="92" t="s">
        <v>304</v>
      </c>
      <c r="AA10" s="124"/>
      <c r="AB10" s="124"/>
    </row>
    <row r="11" ht="13.5" customHeight="1">
      <c r="A11" s="124"/>
      <c r="B11" s="124"/>
      <c r="C11" s="124">
        <v>5.0</v>
      </c>
      <c r="D11" s="91" t="s">
        <v>426</v>
      </c>
      <c r="E11" s="92" t="s">
        <v>304</v>
      </c>
      <c r="F11" s="92" t="s">
        <v>215</v>
      </c>
      <c r="G11" s="145"/>
      <c r="H11" s="92" t="s">
        <v>870</v>
      </c>
      <c r="I11" s="157" t="s">
        <v>441</v>
      </c>
      <c r="J11" s="92">
        <v>40000.0</v>
      </c>
      <c r="K11" s="92">
        <v>29000.0</v>
      </c>
      <c r="L11" s="92">
        <v>11000.0</v>
      </c>
      <c r="M11" s="92"/>
      <c r="N11" s="92" t="s">
        <v>858</v>
      </c>
      <c r="O11" s="92"/>
      <c r="P11" s="92"/>
      <c r="Q11" s="92"/>
      <c r="R11" s="110"/>
      <c r="S11" s="110"/>
      <c r="T11" s="110"/>
      <c r="U11" s="124"/>
      <c r="V11" s="124"/>
      <c r="W11" s="92">
        <v>500.0</v>
      </c>
      <c r="X11" s="92" t="s">
        <v>756</v>
      </c>
      <c r="Y11" s="185">
        <v>45877.0</v>
      </c>
      <c r="Z11" s="92" t="s">
        <v>355</v>
      </c>
      <c r="AA11" s="124"/>
      <c r="AB11" s="124"/>
    </row>
    <row r="12" ht="14.25" customHeight="1">
      <c r="A12" s="124"/>
      <c r="B12" s="124"/>
      <c r="C12" s="124">
        <v>6.0</v>
      </c>
      <c r="D12" s="91" t="s">
        <v>871</v>
      </c>
      <c r="E12" s="92" t="s">
        <v>355</v>
      </c>
      <c r="F12" s="92" t="s">
        <v>872</v>
      </c>
      <c r="G12" s="145" t="s">
        <v>873</v>
      </c>
      <c r="H12" s="186" t="s">
        <v>471</v>
      </c>
      <c r="I12" s="156" t="s">
        <v>441</v>
      </c>
      <c r="J12" s="145"/>
      <c r="K12" s="97"/>
      <c r="L12" s="97" t="s">
        <v>874</v>
      </c>
      <c r="M12" s="97"/>
      <c r="N12" s="92" t="s">
        <v>875</v>
      </c>
      <c r="O12" s="92"/>
      <c r="P12" s="92"/>
      <c r="Q12" s="92"/>
      <c r="R12" s="110"/>
      <c r="S12" s="110"/>
      <c r="T12" s="110"/>
      <c r="U12" s="124"/>
      <c r="V12" s="124"/>
      <c r="W12" s="92">
        <v>1000.0</v>
      </c>
      <c r="X12" s="92" t="s">
        <v>309</v>
      </c>
      <c r="Y12" s="185" t="s">
        <v>876</v>
      </c>
      <c r="Z12" s="92" t="s">
        <v>304</v>
      </c>
      <c r="AA12" s="124"/>
      <c r="AB12" s="124"/>
    </row>
    <row r="13" ht="13.5" customHeight="1">
      <c r="A13" s="124"/>
      <c r="B13" s="124"/>
      <c r="C13" s="124">
        <v>7.0</v>
      </c>
      <c r="D13" s="91" t="s">
        <v>426</v>
      </c>
      <c r="E13" s="110" t="s">
        <v>304</v>
      </c>
      <c r="F13" s="110" t="s">
        <v>504</v>
      </c>
      <c r="G13" s="110" t="s">
        <v>877</v>
      </c>
      <c r="H13" s="110" t="s">
        <v>502</v>
      </c>
      <c r="I13" s="157" t="s">
        <v>504</v>
      </c>
      <c r="J13" s="145">
        <v>595000.0</v>
      </c>
      <c r="K13" s="97">
        <v>580000.0</v>
      </c>
      <c r="L13" s="97"/>
      <c r="M13" s="97"/>
      <c r="N13" s="91" t="s">
        <v>858</v>
      </c>
      <c r="O13" s="110">
        <v>15000.0</v>
      </c>
      <c r="P13" s="110"/>
      <c r="Q13" s="91"/>
      <c r="R13" s="110"/>
      <c r="S13" s="110"/>
      <c r="T13" s="110"/>
      <c r="U13" s="124"/>
      <c r="V13" s="124"/>
      <c r="W13" s="187">
        <v>13493.0</v>
      </c>
      <c r="X13" s="187" t="s">
        <v>764</v>
      </c>
      <c r="Y13" s="188">
        <v>45870.0</v>
      </c>
      <c r="Z13" s="187" t="s">
        <v>878</v>
      </c>
      <c r="AA13" s="124" t="s">
        <v>879</v>
      </c>
      <c r="AB13" s="124"/>
    </row>
    <row r="14" ht="13.5" customHeight="1">
      <c r="A14" s="124"/>
      <c r="B14" s="124"/>
      <c r="C14" s="124">
        <v>8.0</v>
      </c>
      <c r="D14" s="91"/>
      <c r="E14" s="110"/>
      <c r="F14" s="110"/>
      <c r="G14" s="127"/>
      <c r="H14" s="110"/>
      <c r="I14" s="153"/>
      <c r="J14" s="110"/>
      <c r="K14" s="110"/>
      <c r="L14" s="110"/>
      <c r="M14" s="110"/>
      <c r="N14" s="91"/>
      <c r="O14" s="110"/>
      <c r="P14" s="110"/>
      <c r="Q14" s="91"/>
      <c r="R14" s="110"/>
      <c r="S14" s="110"/>
      <c r="T14" s="110"/>
      <c r="U14" s="124"/>
      <c r="V14" s="124"/>
      <c r="W14" s="92"/>
      <c r="X14" s="92"/>
      <c r="Y14" s="145"/>
      <c r="Z14" s="92"/>
      <c r="AA14" s="124"/>
      <c r="AB14" s="124"/>
    </row>
    <row r="15" ht="13.5" customHeight="1">
      <c r="A15" s="124"/>
      <c r="B15" s="124"/>
      <c r="C15" s="124">
        <v>9.0</v>
      </c>
      <c r="D15" s="91"/>
      <c r="E15" s="110"/>
      <c r="F15" s="110"/>
      <c r="G15" s="155"/>
      <c r="H15" s="110"/>
      <c r="I15" s="153"/>
      <c r="J15" s="92"/>
      <c r="K15" s="110"/>
      <c r="L15" s="110"/>
      <c r="M15" s="110"/>
      <c r="N15" s="91"/>
      <c r="O15" s="110"/>
      <c r="P15" s="110"/>
      <c r="Q15" s="91"/>
      <c r="R15" s="110"/>
      <c r="S15" s="110"/>
      <c r="T15" s="110"/>
      <c r="U15" s="124"/>
      <c r="V15" s="124"/>
      <c r="W15" s="92"/>
      <c r="X15" s="92"/>
      <c r="Y15" s="92"/>
      <c r="Z15" s="92"/>
      <c r="AA15" s="124"/>
      <c r="AB15" s="124"/>
    </row>
    <row r="16" ht="13.5" customHeight="1">
      <c r="A16" s="124"/>
      <c r="B16" s="124"/>
      <c r="C16" s="124">
        <v>10.0</v>
      </c>
      <c r="D16" s="91"/>
      <c r="E16" s="110"/>
      <c r="F16" s="110"/>
      <c r="G16" s="110"/>
      <c r="H16" s="110"/>
      <c r="I16" s="153"/>
      <c r="J16" s="92"/>
      <c r="K16" s="110"/>
      <c r="L16" s="110"/>
      <c r="M16" s="110"/>
      <c r="N16" s="91"/>
      <c r="O16" s="110"/>
      <c r="P16" s="110"/>
      <c r="Q16" s="91"/>
      <c r="R16" s="110"/>
      <c r="S16" s="110"/>
      <c r="T16" s="110"/>
      <c r="U16" s="124"/>
      <c r="V16" s="124"/>
      <c r="W16" s="92"/>
      <c r="X16" s="92"/>
      <c r="Y16" s="125"/>
      <c r="Z16" s="92"/>
      <c r="AA16" s="124"/>
      <c r="AB16" s="124"/>
    </row>
    <row r="17" ht="13.5" customHeight="1">
      <c r="A17" s="124"/>
      <c r="B17" s="124"/>
      <c r="C17" s="124">
        <v>3.0</v>
      </c>
      <c r="D17" s="91"/>
      <c r="E17" s="110"/>
      <c r="F17" s="110"/>
      <c r="G17" s="152"/>
      <c r="H17" s="110"/>
      <c r="I17" s="153"/>
      <c r="J17" s="92"/>
      <c r="K17" s="110"/>
      <c r="L17" s="110"/>
      <c r="M17" s="110"/>
      <c r="N17" s="91"/>
      <c r="O17" s="110"/>
      <c r="P17" s="110"/>
      <c r="Q17" s="91"/>
      <c r="R17" s="110"/>
      <c r="S17" s="110"/>
      <c r="T17" s="110"/>
      <c r="U17" s="124"/>
      <c r="V17" s="124"/>
      <c r="W17" s="92"/>
      <c r="X17" s="92"/>
      <c r="Y17" s="92"/>
      <c r="Z17" s="110"/>
      <c r="AA17" s="124"/>
      <c r="AB17" s="124"/>
    </row>
    <row r="18" ht="13.5" customHeight="1">
      <c r="A18" s="124"/>
      <c r="B18" s="124"/>
      <c r="C18" s="124">
        <v>14.0</v>
      </c>
      <c r="D18" s="91"/>
      <c r="E18" s="110"/>
      <c r="F18" s="110"/>
      <c r="G18" s="110"/>
      <c r="H18" s="110"/>
      <c r="I18" s="153"/>
      <c r="J18" s="110"/>
      <c r="K18" s="110"/>
      <c r="L18" s="110"/>
      <c r="M18" s="110"/>
      <c r="N18" s="91"/>
      <c r="O18" s="110"/>
      <c r="P18" s="110"/>
      <c r="Q18" s="91"/>
      <c r="R18" s="110"/>
      <c r="S18" s="110"/>
      <c r="T18" s="110"/>
      <c r="U18" s="124"/>
      <c r="V18" s="124"/>
      <c r="W18" s="92"/>
      <c r="X18" s="92"/>
      <c r="Y18" s="92"/>
      <c r="Z18" s="92"/>
      <c r="AA18" s="182"/>
      <c r="AB18" s="182"/>
    </row>
    <row r="19" ht="13.5" customHeight="1">
      <c r="A19" s="124"/>
      <c r="B19" s="124"/>
      <c r="C19" s="124"/>
      <c r="D19" s="91"/>
      <c r="E19" s="110"/>
      <c r="F19" s="110"/>
      <c r="G19" s="110"/>
      <c r="H19" s="110"/>
      <c r="I19" s="153"/>
      <c r="J19" s="110"/>
      <c r="K19" s="110"/>
      <c r="L19" s="110"/>
      <c r="M19" s="110"/>
      <c r="N19" s="91"/>
      <c r="O19" s="110"/>
      <c r="P19" s="110"/>
      <c r="Q19" s="91"/>
      <c r="R19" s="110"/>
      <c r="S19" s="110"/>
      <c r="T19" s="110"/>
      <c r="U19" s="124"/>
      <c r="V19" s="124"/>
      <c r="W19" s="110"/>
      <c r="X19" s="110"/>
      <c r="Y19" s="110"/>
      <c r="Z19" s="110"/>
      <c r="AA19" s="124"/>
      <c r="AB19" s="124"/>
    </row>
    <row r="20" ht="13.5" customHeight="1">
      <c r="A20" s="124"/>
      <c r="B20" s="124"/>
      <c r="C20" s="124"/>
      <c r="D20" s="91"/>
      <c r="E20" s="110"/>
      <c r="F20" s="110"/>
      <c r="G20" s="110"/>
      <c r="H20" s="110"/>
      <c r="I20" s="110"/>
      <c r="J20" s="110"/>
      <c r="K20" s="110"/>
      <c r="L20" s="110"/>
      <c r="M20" s="110"/>
      <c r="N20" s="91"/>
      <c r="O20" s="110"/>
      <c r="P20" s="110"/>
      <c r="Q20" s="91"/>
      <c r="R20" s="110"/>
      <c r="S20" s="110"/>
      <c r="T20" s="110"/>
      <c r="U20" s="124"/>
      <c r="V20" s="124"/>
      <c r="W20" s="124"/>
      <c r="X20" s="124"/>
      <c r="Y20" s="124"/>
      <c r="Z20" s="124"/>
      <c r="AA20" s="124"/>
      <c r="AB20" s="124"/>
    </row>
    <row r="21" ht="13.5" customHeight="1">
      <c r="A21" s="124"/>
      <c r="B21" s="124"/>
      <c r="C21" s="124"/>
      <c r="D21" s="91"/>
      <c r="E21" s="110"/>
      <c r="F21" s="110"/>
      <c r="G21" s="110"/>
      <c r="H21" s="110"/>
      <c r="I21" s="110"/>
      <c r="J21" s="110"/>
      <c r="K21" s="110"/>
      <c r="L21" s="110"/>
      <c r="M21" s="110"/>
      <c r="N21" s="91"/>
      <c r="O21" s="110"/>
      <c r="P21" s="110"/>
      <c r="Q21" s="91"/>
      <c r="R21" s="110"/>
      <c r="S21" s="110"/>
      <c r="T21" s="110"/>
      <c r="U21" s="124"/>
      <c r="V21" s="124"/>
      <c r="W21" s="124"/>
      <c r="X21" s="124"/>
      <c r="Y21" s="124"/>
      <c r="Z21" s="124"/>
      <c r="AA21" s="124"/>
      <c r="AB21" s="124"/>
    </row>
    <row r="22" ht="13.5" customHeight="1">
      <c r="A22" s="124"/>
      <c r="B22" s="124"/>
      <c r="C22" s="124"/>
      <c r="D22" s="91"/>
      <c r="E22" s="110"/>
      <c r="F22" s="110"/>
      <c r="G22" s="110"/>
      <c r="H22" s="110"/>
      <c r="I22" s="110"/>
      <c r="J22" s="110"/>
      <c r="K22" s="110"/>
      <c r="L22" s="110"/>
      <c r="M22" s="110"/>
      <c r="N22" s="91"/>
      <c r="O22" s="110"/>
      <c r="P22" s="110"/>
      <c r="Q22" s="91"/>
      <c r="R22" s="110"/>
      <c r="S22" s="110"/>
      <c r="T22" s="110"/>
      <c r="U22" s="124"/>
      <c r="V22" s="124"/>
      <c r="W22" s="124"/>
      <c r="X22" s="124"/>
      <c r="Y22" s="124"/>
      <c r="Z22" s="124"/>
      <c r="AA22" s="124"/>
      <c r="AB22" s="124"/>
    </row>
    <row r="23" ht="13.5" customHeight="1">
      <c r="A23" s="124"/>
      <c r="B23" s="124"/>
      <c r="C23" s="124"/>
      <c r="D23" s="110"/>
      <c r="E23" s="110"/>
      <c r="F23" s="110"/>
      <c r="G23" s="110"/>
      <c r="H23" s="110"/>
      <c r="I23" s="110"/>
      <c r="J23" s="110"/>
      <c r="K23" s="110"/>
      <c r="L23" s="110"/>
      <c r="M23" s="110"/>
      <c r="N23" s="91"/>
      <c r="O23" s="110"/>
      <c r="P23" s="110"/>
      <c r="Q23" s="110"/>
      <c r="R23" s="110"/>
      <c r="S23" s="110"/>
      <c r="T23" s="110"/>
      <c r="U23" s="161"/>
      <c r="V23" s="161"/>
      <c r="W23" s="124"/>
      <c r="X23" s="124"/>
      <c r="Y23" s="124"/>
      <c r="Z23" s="124"/>
      <c r="AA23" s="124"/>
      <c r="AB23" s="124"/>
    </row>
    <row r="24" ht="13.5" customHeight="1">
      <c r="A24" s="124"/>
      <c r="B24" s="124"/>
      <c r="C24" s="124"/>
      <c r="D24" s="124"/>
      <c r="E24" s="124"/>
      <c r="F24" s="110"/>
      <c r="G24" s="124"/>
      <c r="H24" s="124"/>
      <c r="I24" s="124"/>
      <c r="J24" s="124"/>
      <c r="K24" s="124"/>
      <c r="L24" s="124"/>
      <c r="M24" s="124"/>
      <c r="N24" s="124"/>
      <c r="O24" s="124"/>
      <c r="P24" s="124"/>
      <c r="Q24" s="124"/>
      <c r="R24" s="124"/>
      <c r="S24" s="124"/>
      <c r="T24" s="124"/>
      <c r="U24" s="124"/>
      <c r="V24" s="124"/>
      <c r="W24" s="124"/>
      <c r="X24" s="124"/>
      <c r="Y24" s="124"/>
      <c r="Z24" s="124"/>
      <c r="AA24" s="124"/>
      <c r="AB24" s="124"/>
    </row>
    <row r="25" ht="13.5" customHeight="1">
      <c r="A25" s="124"/>
      <c r="B25" s="124"/>
      <c r="C25" s="124"/>
      <c r="D25" s="124"/>
      <c r="E25" s="124"/>
      <c r="F25" s="110"/>
      <c r="G25" s="124"/>
      <c r="H25" s="124"/>
      <c r="I25" s="124"/>
      <c r="J25" s="124"/>
      <c r="K25" s="124"/>
      <c r="L25" s="124"/>
      <c r="M25" s="124"/>
      <c r="N25" s="124"/>
      <c r="O25" s="124"/>
      <c r="P25" s="124"/>
      <c r="Q25" s="124"/>
      <c r="R25" s="124"/>
      <c r="S25" s="124"/>
      <c r="T25" s="124"/>
      <c r="U25" s="124"/>
      <c r="V25" s="124"/>
      <c r="W25" s="124"/>
      <c r="X25" s="124"/>
      <c r="Y25" s="124"/>
      <c r="Z25" s="124"/>
      <c r="AA25" s="124"/>
      <c r="AB25" s="124"/>
    </row>
    <row r="26" ht="13.5" customHeight="1">
      <c r="A26" s="124"/>
      <c r="B26" s="124"/>
      <c r="C26" s="124"/>
      <c r="D26" s="124"/>
      <c r="E26" s="124"/>
      <c r="F26" s="110"/>
      <c r="G26" s="124"/>
      <c r="H26" s="124"/>
      <c r="I26" s="124"/>
      <c r="J26" s="124"/>
      <c r="K26" s="124"/>
      <c r="L26" s="124"/>
      <c r="M26" s="124"/>
      <c r="N26" s="124"/>
      <c r="O26" s="124"/>
      <c r="P26" s="124"/>
      <c r="Q26" s="124"/>
      <c r="R26" s="124"/>
      <c r="S26" s="124"/>
      <c r="T26" s="124"/>
      <c r="U26" s="124"/>
      <c r="V26" s="124"/>
      <c r="W26" s="124"/>
      <c r="X26" s="124"/>
      <c r="Y26" s="124"/>
      <c r="Z26" s="124"/>
      <c r="AA26" s="124"/>
      <c r="AB26" s="124"/>
    </row>
    <row r="27" ht="13.5" customHeight="1">
      <c r="A27" s="124"/>
      <c r="B27" s="124"/>
      <c r="C27" s="124"/>
      <c r="D27" s="124"/>
      <c r="E27" s="124"/>
      <c r="F27" s="124"/>
      <c r="G27" s="124"/>
      <c r="H27" s="124"/>
      <c r="I27" s="124"/>
      <c r="J27" s="124"/>
      <c r="K27" s="124"/>
      <c r="L27" s="124"/>
      <c r="M27" s="124"/>
      <c r="N27" s="124"/>
      <c r="O27" s="124"/>
      <c r="P27" s="124"/>
      <c r="Q27" s="124"/>
      <c r="R27" s="124"/>
      <c r="S27" s="124"/>
      <c r="T27" s="124"/>
      <c r="U27" s="124"/>
      <c r="V27" s="124"/>
      <c r="W27" s="124"/>
      <c r="X27" s="124"/>
      <c r="Y27" s="124"/>
      <c r="Z27" s="124"/>
      <c r="AA27" s="124"/>
      <c r="AB27" s="124"/>
    </row>
    <row r="28" ht="13.5" customHeight="1">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row>
    <row r="29" ht="13.5" customHeight="1">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c r="AA29" s="124"/>
      <c r="AB29" s="124"/>
    </row>
    <row r="30" ht="13.5" customHeight="1">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c r="AA30" s="124"/>
      <c r="AB30" s="124"/>
    </row>
    <row r="31" ht="13.5" customHeight="1">
      <c r="A31" s="124"/>
      <c r="B31" s="124"/>
      <c r="C31" s="124"/>
      <c r="D31" s="124"/>
      <c r="E31" s="124"/>
      <c r="F31" s="124"/>
      <c r="G31" s="124"/>
      <c r="H31" s="124"/>
      <c r="I31" s="124"/>
      <c r="J31" s="124"/>
      <c r="K31" s="124"/>
      <c r="L31" s="124"/>
      <c r="M31" s="124"/>
      <c r="N31" s="124"/>
      <c r="O31" s="124"/>
      <c r="P31" s="124"/>
      <c r="Q31" s="124"/>
      <c r="R31" s="124"/>
      <c r="S31" s="124"/>
      <c r="T31" s="124"/>
      <c r="U31" s="124"/>
      <c r="V31" s="124"/>
      <c r="W31" s="124"/>
      <c r="X31" s="124"/>
      <c r="Y31" s="124"/>
      <c r="Z31" s="124"/>
      <c r="AA31" s="124"/>
      <c r="AB31" s="124"/>
    </row>
    <row r="32" ht="13.5" customHeight="1">
      <c r="A32" s="124"/>
      <c r="B32" s="124"/>
      <c r="C32" s="124"/>
      <c r="D32" s="124"/>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row>
    <row r="33" ht="13.5" customHeight="1">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row>
    <row r="34" ht="13.5" customHeight="1">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c r="AA34" s="124"/>
      <c r="AB34" s="124"/>
    </row>
    <row r="35" ht="13.5" customHeight="1">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row>
    <row r="36" ht="13.5" customHeight="1">
      <c r="A36" s="124"/>
      <c r="B36" s="124"/>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c r="AA36" s="124"/>
      <c r="AB36" s="124"/>
    </row>
    <row r="37" ht="13.5" customHeight="1">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c r="AA37" s="124"/>
      <c r="AB37" s="124"/>
    </row>
    <row r="38" ht="13.5" customHeight="1">
      <c r="A38" s="124"/>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row>
    <row r="39" ht="13.5" customHeight="1">
      <c r="A39" s="124"/>
      <c r="B39" s="124"/>
      <c r="C39" s="151">
        <v>45753.0</v>
      </c>
      <c r="D39" s="124">
        <v>20000.0</v>
      </c>
      <c r="E39" s="124" t="s">
        <v>799</v>
      </c>
      <c r="F39" s="124" t="s">
        <v>800</v>
      </c>
      <c r="G39" s="124"/>
      <c r="H39" s="124"/>
      <c r="I39" s="124"/>
      <c r="J39" s="124"/>
      <c r="K39" s="124"/>
      <c r="L39" s="124"/>
      <c r="M39" s="124"/>
      <c r="N39" s="124"/>
      <c r="O39" s="124"/>
      <c r="P39" s="124"/>
      <c r="Q39" s="124"/>
      <c r="R39" s="124"/>
      <c r="S39" s="124"/>
      <c r="T39" s="124"/>
      <c r="U39" s="124"/>
      <c r="V39" s="124"/>
      <c r="W39" s="124"/>
      <c r="X39" s="124"/>
      <c r="Y39" s="124"/>
      <c r="Z39" s="124"/>
      <c r="AA39" s="124"/>
      <c r="AB39" s="124"/>
    </row>
    <row r="40" ht="13.5" customHeight="1">
      <c r="A40" s="124"/>
      <c r="B40" s="124"/>
      <c r="C40" s="151">
        <v>45814.0</v>
      </c>
      <c r="D40" s="124">
        <v>20000.0</v>
      </c>
      <c r="E40" s="124" t="s">
        <v>801</v>
      </c>
      <c r="F40" s="124" t="s">
        <v>802</v>
      </c>
      <c r="G40" s="124"/>
      <c r="H40" s="124"/>
      <c r="I40" s="124"/>
      <c r="J40" s="124"/>
      <c r="K40" s="124"/>
      <c r="L40" s="124"/>
      <c r="M40" s="124"/>
      <c r="N40" s="124"/>
      <c r="O40" s="124"/>
      <c r="P40" s="124"/>
      <c r="Q40" s="124"/>
      <c r="R40" s="124"/>
      <c r="S40" s="124"/>
      <c r="T40" s="124"/>
      <c r="U40" s="124"/>
      <c r="V40" s="124"/>
      <c r="W40" s="124"/>
      <c r="X40" s="124"/>
      <c r="Y40" s="124"/>
      <c r="Z40" s="124"/>
      <c r="AA40" s="124"/>
      <c r="AB40" s="124"/>
    </row>
    <row r="41" ht="13.5" customHeight="1">
      <c r="A41" s="124"/>
      <c r="B41" s="124"/>
      <c r="C41" s="124" t="s">
        <v>803</v>
      </c>
      <c r="D41" s="124">
        <v>43000.0</v>
      </c>
      <c r="E41" s="124" t="s">
        <v>801</v>
      </c>
      <c r="F41" s="124" t="s">
        <v>804</v>
      </c>
      <c r="G41" s="124"/>
      <c r="H41" s="124"/>
      <c r="I41" s="124"/>
      <c r="J41" s="124"/>
      <c r="K41" s="124"/>
      <c r="L41" s="124"/>
      <c r="M41" s="124"/>
      <c r="N41" s="124"/>
      <c r="O41" s="124"/>
      <c r="P41" s="124"/>
      <c r="Q41" s="124"/>
      <c r="R41" s="124"/>
      <c r="S41" s="124"/>
      <c r="T41" s="124"/>
      <c r="U41" s="124"/>
      <c r="V41" s="124"/>
      <c r="W41" s="124"/>
      <c r="X41" s="124"/>
      <c r="Y41" s="124"/>
      <c r="Z41" s="124"/>
      <c r="AA41" s="124"/>
      <c r="AB41" s="124"/>
    </row>
    <row r="42" ht="13.5" customHeight="1">
      <c r="A42" s="124"/>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row>
    <row r="43" ht="13.5" customHeight="1">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row>
    <row r="44" ht="13.5" customHeight="1">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row>
    <row r="45" ht="13.5" customHeight="1">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row>
    <row r="46" ht="13.5" customHeight="1">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row>
    <row r="47" ht="13.5" customHeight="1">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row>
    <row r="48" ht="13.5" customHeight="1">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row>
    <row r="49" ht="13.5" customHeight="1">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row>
    <row r="50" ht="13.5" customHeight="1">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row>
    <row r="51" ht="13.5" customHeight="1">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row>
    <row r="52" ht="13.5" customHeight="1">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row>
    <row r="53" ht="13.5" customHeight="1">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row>
    <row r="54" ht="13.5" customHeight="1">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row>
    <row r="55" ht="13.5" customHeight="1">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row>
    <row r="56" ht="13.5" customHeight="1">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row>
    <row r="57" ht="13.5" customHeight="1">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row>
    <row r="58" ht="13.5" customHeight="1">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row>
    <row r="59" ht="13.5" customHeight="1">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row>
    <row r="60" ht="13.5" customHeight="1">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row>
    <row r="61" ht="13.5" customHeight="1">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row>
    <row r="62" ht="13.5" customHeight="1">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row>
    <row r="63" ht="13.5" customHeight="1">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row>
    <row r="64" ht="13.5" customHeight="1">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row>
    <row r="65" ht="13.5" customHeight="1">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row>
    <row r="66" ht="13.5" customHeight="1">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row>
    <row r="67" ht="13.5" customHeight="1">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row>
    <row r="68" ht="13.5" customHeight="1">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row>
    <row r="69" ht="13.5" customHeight="1">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row>
    <row r="70" ht="13.5" customHeight="1">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row>
    <row r="71" ht="13.5" customHeight="1">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row>
    <row r="72" ht="13.5" customHeight="1">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row>
    <row r="73" ht="13.5" customHeight="1">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row>
    <row r="74" ht="13.5" customHeight="1">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row>
    <row r="75" ht="13.5" customHeight="1">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row>
    <row r="76" ht="13.5" customHeight="1">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row>
    <row r="77" ht="13.5" customHeight="1">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row>
    <row r="78" ht="13.5" customHeight="1">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row>
    <row r="79" ht="13.5" customHeight="1">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row>
    <row r="80" ht="13.5" customHeight="1">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row>
    <row r="81" ht="13.5" customHeight="1">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row>
    <row r="82" ht="13.5" customHeight="1">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row>
    <row r="83" ht="13.5" customHeight="1">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row>
    <row r="84" ht="13.5" customHeight="1">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row>
    <row r="85" ht="13.5" customHeight="1">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row>
    <row r="86" ht="13.5" customHeight="1">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row>
    <row r="87" ht="13.5" customHeight="1">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row>
    <row r="88" ht="13.5" customHeight="1">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row>
    <row r="89" ht="13.5" customHeight="1">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row>
    <row r="90" ht="13.5" customHeight="1">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row>
    <row r="91" ht="13.5" customHeight="1">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row>
    <row r="92" ht="13.5" customHeight="1">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row>
    <row r="93" ht="13.5" customHeight="1">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row>
    <row r="94" ht="13.5" customHeight="1">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row>
    <row r="95" ht="13.5" customHeight="1">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row>
    <row r="96" ht="13.5" customHeight="1">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row>
    <row r="97" ht="13.5" customHeight="1">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row>
    <row r="98" ht="13.5" customHeight="1">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row>
    <row r="99" ht="13.5" customHeight="1">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c r="AA99" s="124"/>
      <c r="AB99" s="124"/>
    </row>
    <row r="100" ht="13.5" customHeight="1">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row>
    <row r="101" ht="13.5" customHeight="1">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c r="AA101" s="124"/>
      <c r="AB101" s="124"/>
    </row>
    <row r="102" ht="13.5" customHeight="1">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c r="AA102" s="124"/>
      <c r="AB102" s="124"/>
    </row>
    <row r="103" ht="13.5" customHeight="1">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c r="AA103" s="124"/>
      <c r="AB103" s="124"/>
    </row>
    <row r="104" ht="13.5" customHeight="1">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row>
    <row r="105" ht="13.5" customHeight="1">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c r="AB105" s="124"/>
    </row>
    <row r="106" ht="13.5" customHeight="1">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c r="AA106" s="124"/>
      <c r="AB106" s="124"/>
    </row>
    <row r="107" ht="13.5" customHeight="1">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4"/>
    </row>
    <row r="108" ht="13.5" customHeight="1">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c r="AA108" s="124"/>
      <c r="AB108" s="124"/>
    </row>
    <row r="109" ht="13.5" customHeight="1">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row>
    <row r="110" ht="13.5" customHeight="1">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row>
    <row r="111" ht="13.5" customHeight="1">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row>
    <row r="112" ht="13.5" customHeight="1">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row>
    <row r="113" ht="13.5" customHeight="1">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c r="AA113" s="124"/>
      <c r="AB113" s="124"/>
    </row>
    <row r="114" ht="13.5" customHeight="1">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c r="AA114" s="124"/>
      <c r="AB114" s="124"/>
    </row>
    <row r="115" ht="13.5" customHeight="1">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row>
    <row r="116" ht="13.5" customHeight="1">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c r="AA116" s="124"/>
      <c r="AB116" s="124"/>
    </row>
    <row r="117" ht="13.5" customHeight="1">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row>
    <row r="118" ht="13.5" customHeight="1">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c r="AB118" s="124"/>
    </row>
    <row r="119" ht="13.5" customHeight="1">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row>
    <row r="120" ht="13.5" customHeight="1">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row>
    <row r="121" ht="13.5" customHeight="1">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row>
    <row r="122" ht="13.5" customHeight="1">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row>
    <row r="123" ht="13.5" customHeight="1">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row>
    <row r="124" ht="13.5" customHeight="1">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row>
    <row r="125" ht="13.5" customHeight="1">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row>
    <row r="126" ht="13.5" customHeight="1">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row>
    <row r="127" ht="13.5" customHeight="1">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row>
    <row r="128" ht="13.5" customHeight="1">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row>
    <row r="129" ht="13.5" customHeight="1">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row>
    <row r="130" ht="13.5" customHeight="1">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row>
    <row r="131" ht="13.5" customHeight="1">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row>
    <row r="132" ht="13.5" customHeight="1">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row>
    <row r="133" ht="13.5" customHeight="1">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c r="AB133" s="124"/>
    </row>
    <row r="134" ht="13.5" customHeight="1">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row>
    <row r="135" ht="13.5" customHeight="1">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row>
    <row r="136" ht="13.5" customHeight="1">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c r="AB136" s="124"/>
    </row>
    <row r="137" ht="13.5" customHeight="1">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row>
    <row r="138" ht="13.5" customHeight="1">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row>
    <row r="139" ht="13.5" customHeight="1">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row>
    <row r="140" ht="13.5" customHeight="1">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row>
    <row r="141" ht="13.5" customHeight="1">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row>
    <row r="142" ht="13.5" customHeight="1">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row>
    <row r="143" ht="13.5" customHeight="1">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row>
    <row r="144" ht="13.5" customHeight="1">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row>
    <row r="145" ht="13.5" customHeight="1">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row>
    <row r="146" ht="13.5" customHeight="1">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row>
    <row r="147" ht="13.5" customHeight="1">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row>
    <row r="148" ht="13.5" customHeight="1">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row>
    <row r="149" ht="13.5" customHeight="1">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row>
    <row r="150" ht="13.5" customHeight="1">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row>
    <row r="151" ht="13.5" customHeight="1">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row>
    <row r="152" ht="13.5" customHeight="1">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c r="AB152" s="124"/>
    </row>
    <row r="153" ht="13.5" customHeight="1">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c r="AB153" s="124"/>
    </row>
    <row r="154" ht="13.5" customHeight="1">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row>
    <row r="155" ht="13.5" customHeight="1">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c r="AB155" s="124"/>
    </row>
    <row r="156" ht="13.5" customHeight="1">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row>
    <row r="157" ht="13.5" customHeight="1">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row>
    <row r="158" ht="13.5" customHeight="1">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row>
    <row r="159" ht="13.5" customHeight="1">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row>
    <row r="160" ht="13.5" customHeight="1">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row>
    <row r="161" ht="13.5" customHeight="1">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row>
    <row r="162" ht="13.5" customHeight="1">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row>
    <row r="163" ht="13.5" customHeight="1">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124"/>
    </row>
    <row r="164" ht="13.5" customHeight="1">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row>
    <row r="165" ht="13.5" customHeight="1">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row>
    <row r="166" ht="13.5" customHeight="1">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row>
    <row r="167" ht="13.5" customHeight="1">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c r="AB167" s="124"/>
    </row>
    <row r="168" ht="13.5" customHeight="1">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row>
    <row r="169" ht="13.5" customHeight="1">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c r="AB169" s="124"/>
    </row>
    <row r="170" ht="13.5" customHeight="1">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row>
    <row r="171" ht="13.5" customHeight="1">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124"/>
    </row>
    <row r="172" ht="13.5" customHeight="1">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row>
    <row r="173" ht="13.5" customHeight="1">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row>
    <row r="174" ht="13.5" customHeight="1">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row>
    <row r="175" ht="13.5" customHeight="1">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124"/>
    </row>
    <row r="176" ht="13.5" customHeight="1">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row>
    <row r="177" ht="13.5" customHeight="1">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row>
    <row r="178" ht="13.5" customHeight="1">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row>
    <row r="179" ht="13.5" customHeight="1">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124"/>
    </row>
    <row r="180" ht="13.5" customHeight="1">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row>
    <row r="181" ht="13.5" customHeight="1">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row>
    <row r="182" ht="13.5" customHeight="1">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124"/>
    </row>
    <row r="183" ht="13.5" customHeight="1">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c r="AB183" s="124"/>
    </row>
    <row r="184" ht="13.5" customHeight="1">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row>
    <row r="185" ht="13.5" customHeight="1">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124"/>
    </row>
    <row r="186" ht="13.5" customHeight="1">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row>
    <row r="187" ht="13.5" customHeight="1">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row>
    <row r="188" ht="13.5" customHeight="1">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row>
    <row r="189" ht="13.5" customHeight="1">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row>
    <row r="190" ht="13.5" customHeight="1">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row>
    <row r="191" ht="13.5" customHeight="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row>
    <row r="192" ht="13.5" customHeight="1">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row>
    <row r="193" ht="13.5" customHeight="1">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row>
    <row r="194" ht="13.5" customHeight="1">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row>
    <row r="195" ht="13.5" customHeight="1">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row>
    <row r="196" ht="13.5" customHeight="1">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row>
    <row r="197" ht="13.5" customHeight="1">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row>
    <row r="198" ht="13.5" customHeight="1">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row>
    <row r="199" ht="13.5" customHeight="1">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row>
    <row r="200" ht="13.5" customHeight="1">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row>
    <row r="201" ht="13.5" customHeight="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row>
    <row r="202" ht="13.5" customHeight="1">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row>
    <row r="203" ht="13.5" customHeight="1">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row>
    <row r="204" ht="13.5" customHeight="1">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row>
    <row r="205" ht="13.5" customHeight="1">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row>
    <row r="206" ht="13.5" customHeight="1">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row>
    <row r="207" ht="13.5" customHeight="1">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row>
    <row r="208" ht="13.5" customHeight="1">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row>
    <row r="209" ht="13.5" customHeight="1">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row>
    <row r="210" ht="13.5" customHeight="1">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row>
    <row r="211" ht="13.5" customHeight="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row>
    <row r="212" ht="13.5" customHeight="1">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row>
    <row r="213" ht="13.5" customHeight="1">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row>
    <row r="214" ht="13.5" customHeight="1">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row>
    <row r="215" ht="13.5" customHeight="1">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row>
    <row r="216" ht="13.5" customHeight="1">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row>
    <row r="217" ht="13.5" customHeight="1">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row>
    <row r="218" ht="13.5" customHeight="1">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row>
    <row r="219" ht="13.5" customHeight="1">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row>
    <row r="220" ht="13.5" customHeight="1">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row>
    <row r="221" ht="13.5" customHeight="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row>
    <row r="222" ht="13.5" customHeight="1">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row>
    <row r="223" ht="13.5" customHeight="1">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row>
    <row r="224" ht="13.5" customHeight="1">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row>
    <row r="225" ht="13.5" customHeight="1">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row>
    <row r="226" ht="13.5" customHeight="1">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row>
    <row r="227" ht="13.5" customHeight="1">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row>
    <row r="228" ht="13.5" customHeight="1">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row>
    <row r="229" ht="13.5" customHeight="1">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row>
    <row r="230" ht="13.5" customHeight="1">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row>
    <row r="231" ht="13.5" customHeight="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row>
    <row r="232" ht="13.5" customHeight="1">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row>
    <row r="233" ht="13.5" customHeight="1">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row>
    <row r="234" ht="13.5" customHeight="1">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row>
    <row r="235" ht="13.5" customHeight="1">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row>
    <row r="236" ht="13.5" customHeight="1">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row>
    <row r="237" ht="13.5" customHeight="1">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row>
    <row r="238" ht="13.5" customHeight="1">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row>
    <row r="239" ht="13.5" customHeight="1">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row>
    <row r="240" ht="13.5" customHeight="1">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row>
    <row r="241" ht="13.5" customHeight="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row>
    <row r="242" ht="13.5" customHeight="1">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row>
    <row r="243" ht="13.5" customHeight="1">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row>
    <row r="244" ht="13.5" customHeight="1">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row>
    <row r="245" ht="13.5" customHeight="1">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row>
    <row r="246" ht="13.5" customHeight="1">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row>
    <row r="247" ht="13.5" customHeight="1">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row>
    <row r="248" ht="13.5" customHeight="1">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row>
    <row r="249" ht="13.5" customHeight="1">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row>
    <row r="250" ht="13.5" customHeight="1">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row>
    <row r="251" ht="13.5" customHeight="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row>
    <row r="252" ht="13.5" customHeight="1">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row>
    <row r="253" ht="13.5" customHeight="1">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row>
    <row r="254" ht="13.5" customHeight="1">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row>
    <row r="255" ht="13.5" customHeight="1">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row>
    <row r="256" ht="13.5" customHeight="1">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row>
    <row r="257" ht="13.5" customHeight="1">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row>
    <row r="258" ht="13.5" customHeight="1">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row>
    <row r="259" ht="13.5" customHeight="1">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row>
    <row r="260" ht="13.5" customHeight="1">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row>
    <row r="261" ht="13.5" customHeight="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row>
    <row r="262" ht="13.5" customHeight="1">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row>
    <row r="263" ht="13.5" customHeight="1">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row>
    <row r="264" ht="13.5" customHeight="1">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row>
    <row r="265" ht="13.5" customHeight="1">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row>
    <row r="266" ht="13.5" customHeight="1">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row>
    <row r="267" ht="13.5" customHeight="1">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row>
    <row r="268" ht="13.5" customHeight="1">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row>
    <row r="269" ht="13.5" customHeight="1">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row>
    <row r="270" ht="13.5" customHeight="1">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row>
    <row r="271" ht="13.5" customHeight="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row>
    <row r="272" ht="13.5" customHeight="1">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row>
    <row r="273" ht="13.5" customHeight="1">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row>
    <row r="274" ht="13.5" customHeight="1">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row>
    <row r="275" ht="13.5" customHeight="1">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row>
    <row r="276" ht="13.5" customHeight="1">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row>
    <row r="277" ht="13.5" customHeight="1">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row>
    <row r="278" ht="13.5" customHeight="1">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row>
    <row r="279" ht="13.5" customHeight="1">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row>
    <row r="280" ht="13.5" customHeight="1">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row>
    <row r="281" ht="13.5" customHeight="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row>
    <row r="282" ht="13.5" customHeight="1">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row>
    <row r="283" ht="13.5" customHeight="1">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row>
    <row r="284" ht="13.5" customHeight="1">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row>
    <row r="285" ht="13.5" customHeight="1">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row>
    <row r="286" ht="13.5" customHeight="1">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row>
    <row r="287" ht="13.5" customHeight="1">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row>
    <row r="288" ht="13.5" customHeight="1">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row>
    <row r="289" ht="13.5" customHeight="1">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row>
    <row r="290" ht="13.5" customHeight="1">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row>
    <row r="291" ht="13.5" customHeight="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row>
    <row r="292" ht="13.5" customHeight="1">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row>
    <row r="293" ht="13.5" customHeight="1">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row>
    <row r="294" ht="13.5" customHeight="1">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row>
    <row r="295" ht="13.5" customHeight="1">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row>
    <row r="296" ht="13.5" customHeight="1">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row>
    <row r="297" ht="13.5" customHeight="1">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row>
    <row r="298" ht="13.5" customHeight="1">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row>
    <row r="299" ht="13.5" customHeight="1">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row>
    <row r="300" ht="13.5" customHeight="1">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row>
    <row r="301" ht="13.5" customHeight="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row>
    <row r="302" ht="13.5" customHeight="1">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row>
    <row r="303" ht="13.5" customHeight="1">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row>
    <row r="304" ht="13.5" customHeight="1">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row>
    <row r="305" ht="13.5" customHeight="1">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row>
    <row r="306" ht="13.5" customHeight="1">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row>
    <row r="307" ht="13.5" customHeight="1">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row>
    <row r="308" ht="13.5" customHeight="1">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row>
    <row r="309" ht="13.5" customHeight="1">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row>
    <row r="310" ht="13.5" customHeight="1">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row>
    <row r="311" ht="13.5" customHeight="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row>
    <row r="312" ht="13.5" customHeight="1">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row>
    <row r="313" ht="13.5" customHeight="1">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row>
    <row r="314" ht="13.5" customHeight="1">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row>
    <row r="315" ht="13.5" customHeight="1">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row>
    <row r="316" ht="13.5" customHeight="1">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row>
    <row r="317" ht="13.5" customHeight="1">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row>
    <row r="318" ht="13.5" customHeight="1">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row>
    <row r="319" ht="13.5" customHeight="1">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row>
    <row r="320" ht="13.5" customHeight="1">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row>
    <row r="321" ht="13.5" customHeight="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row>
    <row r="322" ht="13.5" customHeight="1">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row>
    <row r="323" ht="13.5" customHeight="1">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row>
    <row r="324" ht="13.5" customHeight="1">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row>
    <row r="325" ht="13.5" customHeight="1">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row>
    <row r="326" ht="13.5" customHeight="1">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row>
    <row r="327" ht="13.5" customHeight="1">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row>
    <row r="328" ht="13.5" customHeight="1">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row>
    <row r="329" ht="13.5" customHeight="1">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row>
    <row r="330" ht="13.5" customHeight="1">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row>
    <row r="331" ht="13.5" customHeight="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row>
    <row r="332" ht="13.5" customHeight="1">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row>
    <row r="333" ht="13.5" customHeight="1">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row>
    <row r="334" ht="13.5" customHeight="1">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row>
    <row r="335" ht="13.5" customHeight="1">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row>
    <row r="336" ht="13.5" customHeight="1">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row>
    <row r="337" ht="13.5" customHeight="1">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row>
    <row r="338" ht="13.5" customHeight="1">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row>
    <row r="339" ht="13.5" customHeight="1">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row>
    <row r="340" ht="13.5" customHeight="1">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row>
    <row r="341" ht="13.5" customHeight="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row>
    <row r="342" ht="13.5" customHeight="1">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row>
    <row r="343" ht="13.5" customHeight="1">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row>
    <row r="344" ht="13.5" customHeight="1">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row>
    <row r="345" ht="13.5" customHeight="1">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row>
    <row r="346" ht="13.5" customHeight="1">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row>
    <row r="347" ht="13.5" customHeight="1">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row>
    <row r="348" ht="13.5" customHeight="1">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row>
    <row r="349" ht="13.5" customHeight="1">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row>
    <row r="350" ht="13.5" customHeight="1">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row>
    <row r="351" ht="13.5" customHeight="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row>
    <row r="352" ht="13.5" customHeight="1">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row>
    <row r="353" ht="13.5" customHeight="1">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row>
    <row r="354" ht="13.5" customHeight="1">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row>
    <row r="355" ht="13.5" customHeight="1">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row>
    <row r="356" ht="13.5" customHeight="1">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row>
    <row r="357" ht="13.5" customHeight="1">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row>
    <row r="358" ht="13.5" customHeight="1">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row>
    <row r="359" ht="13.5" customHeight="1">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row>
    <row r="360" ht="13.5" customHeight="1">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row>
    <row r="361" ht="13.5" customHeight="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row>
    <row r="362" ht="13.5" customHeight="1">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row>
    <row r="363" ht="13.5" customHeight="1">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row>
    <row r="364" ht="13.5" customHeight="1">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row>
    <row r="365" ht="13.5" customHeight="1">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row>
    <row r="366" ht="13.5" customHeight="1">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row>
    <row r="367" ht="13.5" customHeight="1">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row>
    <row r="368" ht="13.5" customHeight="1">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row>
    <row r="369" ht="13.5" customHeight="1">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row>
    <row r="370" ht="13.5" customHeight="1">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row>
    <row r="371" ht="13.5" customHeight="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row>
    <row r="372" ht="13.5" customHeight="1">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row>
    <row r="373" ht="13.5" customHeight="1">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row>
    <row r="374" ht="13.5" customHeight="1">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row>
    <row r="375" ht="13.5" customHeight="1">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row>
    <row r="376" ht="13.5" customHeight="1">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row>
    <row r="377" ht="13.5" customHeight="1">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row>
    <row r="378" ht="13.5" customHeight="1">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row>
    <row r="379" ht="13.5" customHeight="1">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row>
    <row r="380" ht="13.5" customHeight="1">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row>
    <row r="381" ht="13.5" customHeight="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row>
    <row r="382" ht="13.5" customHeight="1">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row>
    <row r="383" ht="13.5" customHeight="1">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row>
    <row r="384" ht="13.5" customHeight="1">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row>
    <row r="385" ht="13.5" customHeight="1">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row>
    <row r="386" ht="13.5" customHeight="1">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row>
    <row r="387" ht="13.5" customHeight="1">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row>
    <row r="388" ht="13.5" customHeight="1">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row>
    <row r="389" ht="13.5" customHeight="1">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row>
    <row r="390" ht="13.5" customHeight="1">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row>
    <row r="391" ht="13.5" customHeight="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row>
    <row r="392" ht="13.5" customHeight="1">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row>
    <row r="393" ht="13.5" customHeight="1">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row>
    <row r="394" ht="13.5" customHeight="1">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row>
    <row r="395" ht="13.5" customHeight="1">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row>
    <row r="396" ht="13.5" customHeight="1">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row>
    <row r="397" ht="13.5" customHeight="1">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row>
    <row r="398" ht="13.5" customHeight="1">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row>
    <row r="399" ht="13.5" customHeight="1">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row>
    <row r="400" ht="13.5" customHeight="1">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row>
    <row r="401" ht="13.5" customHeight="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row>
    <row r="402" ht="13.5" customHeight="1">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row>
    <row r="403" ht="13.5" customHeight="1">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row>
    <row r="404" ht="13.5" customHeight="1">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row>
    <row r="405" ht="13.5" customHeight="1">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row>
    <row r="406" ht="13.5" customHeight="1">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row>
    <row r="407" ht="13.5" customHeight="1">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row>
    <row r="408" ht="13.5" customHeight="1">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row>
    <row r="409" ht="13.5" customHeight="1">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row>
    <row r="410" ht="13.5" customHeight="1">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row>
    <row r="411" ht="13.5" customHeight="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row>
    <row r="412" ht="13.5" customHeight="1">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row>
    <row r="413" ht="13.5" customHeight="1">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row>
    <row r="414" ht="13.5" customHeight="1">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row>
    <row r="415" ht="13.5" customHeight="1">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row>
    <row r="416" ht="13.5" customHeight="1">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row>
    <row r="417" ht="13.5" customHeight="1">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row>
    <row r="418" ht="13.5" customHeight="1">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row>
    <row r="419" ht="13.5" customHeight="1">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row>
    <row r="420" ht="13.5" customHeight="1">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row>
    <row r="421" ht="13.5" customHeight="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row>
    <row r="422" ht="13.5" customHeight="1">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row>
    <row r="423" ht="13.5" customHeight="1">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row>
    <row r="424" ht="13.5" customHeight="1">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row>
    <row r="425" ht="13.5" customHeight="1">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row>
    <row r="426" ht="13.5" customHeight="1">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row>
    <row r="427" ht="13.5" customHeight="1">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row>
    <row r="428" ht="13.5" customHeight="1">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row>
    <row r="429" ht="13.5" customHeight="1">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row>
    <row r="430" ht="13.5" customHeight="1">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row>
    <row r="431" ht="13.5" customHeight="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row>
    <row r="432" ht="13.5" customHeight="1">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row>
    <row r="433" ht="13.5" customHeight="1">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row>
    <row r="434" ht="13.5" customHeight="1">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row>
    <row r="435" ht="13.5" customHeight="1">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row>
    <row r="436" ht="13.5" customHeight="1">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row>
    <row r="437" ht="13.5" customHeight="1">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row>
    <row r="438" ht="13.5" customHeight="1">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row>
    <row r="439" ht="13.5" customHeight="1">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row>
    <row r="440" ht="13.5" customHeight="1">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row>
    <row r="441" ht="13.5" customHeight="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row>
    <row r="442" ht="13.5" customHeight="1">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row>
    <row r="443" ht="13.5" customHeight="1">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row>
    <row r="444" ht="13.5" customHeight="1">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row>
    <row r="445" ht="13.5" customHeight="1">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row>
    <row r="446" ht="13.5" customHeight="1">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row>
    <row r="447" ht="13.5" customHeight="1">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row>
    <row r="448" ht="13.5" customHeight="1">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row>
    <row r="449" ht="13.5" customHeight="1">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row>
    <row r="450" ht="13.5" customHeight="1">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row>
    <row r="451" ht="13.5" customHeight="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row>
    <row r="452" ht="13.5" customHeight="1">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row>
    <row r="453" ht="13.5" customHeight="1">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row>
    <row r="454" ht="13.5" customHeight="1">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row>
    <row r="455" ht="13.5" customHeight="1">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row>
    <row r="456" ht="13.5" customHeight="1">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row>
    <row r="457" ht="13.5" customHeight="1">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row>
    <row r="458" ht="13.5" customHeight="1">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row>
    <row r="459" ht="13.5" customHeight="1">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row>
    <row r="460" ht="13.5" customHeight="1">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row>
    <row r="461" ht="13.5" customHeight="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row>
    <row r="462" ht="13.5" customHeight="1">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row>
    <row r="463" ht="13.5" customHeight="1">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row>
    <row r="464" ht="13.5" customHeight="1">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row>
    <row r="465" ht="13.5" customHeight="1">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row>
    <row r="466" ht="13.5" customHeight="1">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row>
    <row r="467" ht="13.5" customHeight="1">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row>
    <row r="468" ht="13.5" customHeight="1">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row>
    <row r="469" ht="13.5" customHeight="1">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row>
    <row r="470" ht="13.5" customHeight="1">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row>
    <row r="471" ht="13.5" customHeight="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row>
    <row r="472" ht="13.5" customHeight="1">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row>
    <row r="473" ht="13.5" customHeight="1">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row>
    <row r="474" ht="13.5" customHeight="1">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row>
    <row r="475" ht="13.5" customHeight="1">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row>
    <row r="476" ht="13.5" customHeight="1">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row>
    <row r="477" ht="13.5" customHeight="1">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row>
    <row r="478" ht="13.5" customHeight="1">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row>
    <row r="479" ht="13.5" customHeight="1">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row>
    <row r="480" ht="13.5" customHeight="1">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row>
    <row r="481" ht="13.5" customHeight="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row>
    <row r="482" ht="13.5" customHeight="1">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row>
    <row r="483" ht="13.5" customHeight="1">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row>
    <row r="484" ht="13.5" customHeight="1">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row>
    <row r="485" ht="13.5" customHeight="1">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row>
    <row r="486" ht="13.5" customHeight="1">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row>
    <row r="487" ht="13.5" customHeight="1">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row>
    <row r="488" ht="13.5" customHeight="1">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row>
    <row r="489" ht="13.5" customHeight="1">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row>
    <row r="490" ht="13.5" customHeight="1">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row>
    <row r="491" ht="13.5" customHeight="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row>
    <row r="492" ht="13.5" customHeight="1">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row>
    <row r="493" ht="13.5" customHeight="1">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row>
    <row r="494" ht="13.5" customHeight="1">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row>
    <row r="495" ht="13.5" customHeight="1">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row>
    <row r="496" ht="13.5" customHeight="1">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row>
    <row r="497" ht="13.5" customHeight="1">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row>
    <row r="498" ht="13.5" customHeight="1">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row>
    <row r="499" ht="13.5" customHeight="1">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row>
    <row r="500" ht="13.5" customHeight="1">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row>
    <row r="501" ht="13.5" customHeight="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row>
    <row r="502" ht="13.5" customHeight="1">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row>
    <row r="503" ht="13.5" customHeight="1">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row>
    <row r="504" ht="13.5" customHeight="1">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row>
    <row r="505" ht="13.5" customHeight="1">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row>
    <row r="506" ht="13.5" customHeight="1">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row>
    <row r="507" ht="13.5" customHeight="1">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row>
    <row r="508" ht="13.5" customHeight="1">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row>
    <row r="509" ht="13.5" customHeight="1">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row>
    <row r="510" ht="13.5" customHeight="1">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row>
    <row r="511" ht="13.5" customHeight="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row>
    <row r="512" ht="13.5" customHeight="1">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row>
    <row r="513" ht="13.5" customHeight="1">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row>
    <row r="514" ht="13.5" customHeight="1">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row>
    <row r="515" ht="13.5" customHeight="1">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row>
    <row r="516" ht="13.5" customHeight="1">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row>
    <row r="517" ht="13.5" customHeight="1">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row>
    <row r="518" ht="13.5" customHeight="1">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row>
    <row r="519" ht="13.5" customHeight="1">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row>
    <row r="520" ht="13.5" customHeight="1">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row>
    <row r="521" ht="13.5" customHeight="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row>
    <row r="522" ht="13.5" customHeight="1">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row>
    <row r="523" ht="13.5" customHeight="1">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row>
    <row r="524" ht="13.5" customHeight="1">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row>
    <row r="525" ht="13.5" customHeight="1">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row>
    <row r="526" ht="13.5" customHeight="1">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row>
    <row r="527" ht="13.5" customHeight="1">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row>
    <row r="528" ht="13.5" customHeight="1">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row>
    <row r="529" ht="13.5" customHeight="1">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row>
    <row r="530" ht="13.5" customHeight="1">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row>
    <row r="531" ht="13.5" customHeight="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row>
    <row r="532" ht="13.5" customHeight="1">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row>
    <row r="533" ht="13.5" customHeight="1">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row>
    <row r="534" ht="13.5" customHeight="1">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row>
    <row r="535" ht="13.5" customHeight="1">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row>
    <row r="536" ht="13.5" customHeight="1">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row>
    <row r="537" ht="13.5" customHeight="1">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row>
    <row r="538" ht="13.5" customHeight="1">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row>
    <row r="539" ht="13.5" customHeight="1">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row>
    <row r="540" ht="13.5" customHeight="1">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row>
    <row r="541" ht="13.5" customHeight="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row>
    <row r="542" ht="13.5" customHeight="1">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row>
    <row r="543" ht="13.5" customHeight="1">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row>
    <row r="544" ht="13.5" customHeight="1">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row>
    <row r="545" ht="13.5" customHeight="1">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row>
    <row r="546" ht="13.5" customHeight="1">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row>
    <row r="547" ht="13.5" customHeight="1">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row>
    <row r="548" ht="13.5" customHeight="1">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row>
    <row r="549" ht="13.5" customHeight="1">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row>
    <row r="550" ht="13.5" customHeight="1">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row>
    <row r="551" ht="13.5" customHeight="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row>
    <row r="552" ht="13.5" customHeight="1">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row>
    <row r="553" ht="13.5" customHeight="1">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row>
    <row r="554" ht="13.5" customHeight="1">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row>
    <row r="555" ht="13.5" customHeight="1">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row>
    <row r="556" ht="13.5" customHeight="1">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row>
    <row r="557" ht="13.5" customHeight="1">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row>
    <row r="558" ht="13.5" customHeight="1">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row>
    <row r="559" ht="13.5" customHeight="1">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row>
    <row r="560" ht="13.5" customHeight="1">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row>
    <row r="561" ht="13.5" customHeight="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row>
    <row r="562" ht="13.5" customHeight="1">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row>
    <row r="563" ht="13.5" customHeight="1">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row>
    <row r="564" ht="13.5" customHeight="1">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row>
    <row r="565" ht="13.5" customHeight="1">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row>
    <row r="566" ht="13.5" customHeight="1">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row>
    <row r="567" ht="13.5" customHeight="1">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row>
    <row r="568" ht="13.5" customHeight="1">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row>
    <row r="569" ht="13.5" customHeight="1">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row>
    <row r="570" ht="13.5" customHeight="1">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row>
    <row r="571" ht="13.5" customHeight="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row>
    <row r="572" ht="13.5" customHeight="1">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row>
    <row r="573" ht="13.5" customHeight="1">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row>
    <row r="574" ht="13.5" customHeight="1">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row>
    <row r="575" ht="13.5" customHeight="1">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row>
    <row r="576" ht="13.5" customHeight="1">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row>
    <row r="577" ht="13.5" customHeight="1">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row>
    <row r="578" ht="13.5" customHeight="1">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row>
    <row r="579" ht="13.5" customHeight="1">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row>
    <row r="580" ht="13.5" customHeight="1">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row>
    <row r="581" ht="13.5" customHeight="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row>
    <row r="582" ht="13.5" customHeight="1">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row>
    <row r="583" ht="13.5" customHeight="1">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row>
    <row r="584" ht="13.5" customHeight="1">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row>
    <row r="585" ht="13.5" customHeight="1">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row>
    <row r="586" ht="13.5" customHeight="1">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row>
    <row r="587" ht="13.5" customHeight="1">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row>
    <row r="588" ht="13.5" customHeight="1">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row>
    <row r="589" ht="13.5" customHeight="1">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row>
    <row r="590" ht="13.5" customHeight="1">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row>
    <row r="591" ht="13.5" customHeight="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row>
    <row r="592" ht="13.5" customHeight="1">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row>
    <row r="593" ht="13.5" customHeight="1">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row>
    <row r="594" ht="13.5" customHeight="1">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row>
    <row r="595" ht="13.5" customHeight="1">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row>
    <row r="596" ht="13.5" customHeight="1">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row>
    <row r="597" ht="13.5" customHeight="1">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row>
    <row r="598" ht="13.5" customHeight="1">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row>
    <row r="599" ht="13.5" customHeight="1">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row>
    <row r="600" ht="13.5" customHeight="1">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row>
    <row r="601" ht="13.5" customHeight="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row>
    <row r="602" ht="13.5" customHeight="1">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row>
    <row r="603" ht="13.5" customHeight="1">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row>
    <row r="604" ht="13.5" customHeight="1">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row>
    <row r="605" ht="13.5" customHeight="1">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row>
    <row r="606" ht="13.5" customHeight="1">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row>
    <row r="607" ht="13.5" customHeight="1">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row>
    <row r="608" ht="13.5" customHeight="1">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row>
    <row r="609" ht="13.5" customHeight="1">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row>
    <row r="610" ht="13.5" customHeight="1">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row>
    <row r="611" ht="13.5" customHeight="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row>
    <row r="612" ht="13.5" customHeight="1">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row>
    <row r="613" ht="13.5" customHeight="1">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row>
    <row r="614" ht="13.5" customHeight="1">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row>
    <row r="615" ht="13.5" customHeight="1">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row>
    <row r="616" ht="13.5" customHeight="1">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row>
    <row r="617" ht="13.5" customHeight="1">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row>
    <row r="618" ht="13.5" customHeight="1">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row>
    <row r="619" ht="13.5" customHeight="1">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row>
    <row r="620" ht="13.5" customHeight="1">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row>
    <row r="621" ht="13.5" customHeight="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row>
    <row r="622" ht="13.5" customHeight="1">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row>
    <row r="623" ht="13.5" customHeight="1">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row>
    <row r="624" ht="13.5" customHeight="1">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row>
    <row r="625" ht="13.5" customHeight="1">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row>
    <row r="626" ht="13.5" customHeight="1">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row>
    <row r="627" ht="13.5" customHeight="1">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row>
    <row r="628" ht="13.5" customHeight="1">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row>
    <row r="629" ht="13.5" customHeight="1">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row>
    <row r="630" ht="13.5" customHeight="1">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row>
    <row r="631" ht="13.5" customHeight="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row>
    <row r="632" ht="13.5" customHeight="1">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row>
    <row r="633" ht="13.5" customHeight="1">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row>
    <row r="634" ht="13.5" customHeight="1">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row>
    <row r="635" ht="13.5" customHeight="1">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row>
    <row r="636" ht="13.5" customHeight="1">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row>
    <row r="637" ht="13.5" customHeight="1">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row>
    <row r="638" ht="13.5" customHeight="1">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row>
    <row r="639" ht="13.5" customHeight="1">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row>
    <row r="640" ht="13.5" customHeight="1">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row>
    <row r="641" ht="13.5" customHeight="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row>
    <row r="642" ht="13.5" customHeight="1">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row>
    <row r="643" ht="13.5" customHeight="1">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row>
    <row r="644" ht="13.5" customHeight="1">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row>
    <row r="645" ht="13.5" customHeight="1">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row>
    <row r="646" ht="13.5" customHeight="1">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row>
    <row r="647" ht="13.5" customHeight="1">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row>
    <row r="648" ht="13.5" customHeight="1">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row>
    <row r="649" ht="13.5" customHeight="1">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row>
    <row r="650" ht="13.5" customHeight="1">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row>
    <row r="651" ht="13.5" customHeight="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row>
    <row r="652" ht="13.5" customHeight="1">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row>
    <row r="653" ht="13.5" customHeight="1">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row>
    <row r="654" ht="13.5" customHeight="1">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row>
    <row r="655" ht="13.5" customHeight="1">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row>
    <row r="656" ht="13.5" customHeight="1">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row>
    <row r="657" ht="13.5" customHeight="1">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row>
    <row r="658" ht="13.5" customHeight="1">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row>
    <row r="659" ht="13.5" customHeight="1">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row>
    <row r="660" ht="13.5" customHeight="1">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row>
    <row r="661" ht="13.5" customHeight="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row>
    <row r="662" ht="13.5" customHeight="1">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row>
    <row r="663" ht="13.5" customHeight="1">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row>
    <row r="664" ht="13.5" customHeight="1">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row>
    <row r="665" ht="13.5" customHeight="1">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row>
    <row r="666" ht="13.5" customHeight="1">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row>
    <row r="667" ht="13.5" customHeight="1">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row>
    <row r="668" ht="13.5" customHeight="1">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row>
    <row r="669" ht="13.5" customHeight="1">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row>
    <row r="670" ht="13.5" customHeight="1">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row>
    <row r="671" ht="13.5" customHeight="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row>
    <row r="672" ht="13.5" customHeight="1">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row>
    <row r="673" ht="13.5" customHeight="1">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row>
    <row r="674" ht="13.5" customHeight="1">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row>
    <row r="675" ht="13.5" customHeight="1">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row>
    <row r="676" ht="13.5" customHeight="1">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row>
    <row r="677" ht="13.5" customHeight="1">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row>
    <row r="678" ht="13.5" customHeight="1">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row>
    <row r="679" ht="13.5" customHeight="1">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row>
    <row r="680" ht="13.5" customHeight="1">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row>
    <row r="681" ht="13.5" customHeight="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row>
    <row r="682" ht="13.5" customHeight="1">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row>
    <row r="683" ht="13.5" customHeight="1">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row>
    <row r="684" ht="13.5" customHeight="1">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row>
    <row r="685" ht="13.5" customHeight="1">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row>
    <row r="686" ht="13.5" customHeight="1">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row>
    <row r="687" ht="13.5" customHeight="1">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row>
    <row r="688" ht="13.5" customHeight="1">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row>
    <row r="689" ht="13.5" customHeight="1">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row>
    <row r="690" ht="13.5" customHeight="1">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row>
    <row r="691" ht="13.5" customHeight="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row>
    <row r="692" ht="13.5" customHeight="1">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row>
    <row r="693" ht="13.5" customHeight="1">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row>
    <row r="694" ht="13.5" customHeight="1">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row>
    <row r="695" ht="13.5" customHeight="1">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row>
    <row r="696" ht="13.5" customHeight="1">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row>
    <row r="697" ht="13.5" customHeight="1">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row>
    <row r="698" ht="13.5" customHeight="1">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row>
    <row r="699" ht="13.5" customHeight="1">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row>
    <row r="700" ht="13.5" customHeight="1">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row>
    <row r="701" ht="13.5" customHeight="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row>
    <row r="702" ht="13.5" customHeight="1">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row>
    <row r="703" ht="13.5" customHeight="1">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row>
    <row r="704" ht="13.5" customHeight="1">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row>
    <row r="705" ht="13.5" customHeight="1">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row>
    <row r="706" ht="13.5" customHeight="1">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row>
    <row r="707" ht="13.5" customHeight="1">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row>
    <row r="708" ht="13.5" customHeight="1">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row>
    <row r="709" ht="13.5" customHeight="1">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row>
    <row r="710" ht="13.5" customHeight="1">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row>
    <row r="711" ht="13.5" customHeight="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row>
    <row r="712" ht="13.5" customHeight="1">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row>
    <row r="713" ht="13.5" customHeight="1">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row>
    <row r="714" ht="13.5" customHeight="1">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row>
    <row r="715" ht="13.5" customHeight="1">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row>
    <row r="716" ht="13.5" customHeight="1">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row>
    <row r="717" ht="13.5" customHeight="1">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row>
    <row r="718" ht="13.5" customHeight="1">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row>
    <row r="719" ht="13.5" customHeight="1">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row>
    <row r="720" ht="13.5" customHeight="1">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row>
    <row r="721" ht="13.5" customHeight="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row>
    <row r="722" ht="13.5" customHeight="1">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row>
    <row r="723" ht="13.5" customHeight="1">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row>
    <row r="724" ht="13.5" customHeight="1">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row>
    <row r="725" ht="13.5" customHeight="1">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row>
    <row r="726" ht="13.5" customHeight="1">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row>
    <row r="727" ht="13.5" customHeight="1">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row>
    <row r="728" ht="13.5" customHeight="1">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row>
    <row r="729" ht="13.5" customHeight="1">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row>
    <row r="730" ht="13.5" customHeight="1">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row>
    <row r="731" ht="13.5" customHeight="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row>
    <row r="732" ht="13.5" customHeight="1">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row>
    <row r="733" ht="13.5" customHeight="1">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row>
    <row r="734" ht="13.5" customHeight="1">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row>
    <row r="735" ht="13.5" customHeight="1">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row>
    <row r="736" ht="13.5" customHeight="1">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row>
    <row r="737" ht="13.5" customHeight="1">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row>
    <row r="738" ht="13.5" customHeight="1">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row>
    <row r="739" ht="13.5" customHeight="1">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row>
    <row r="740" ht="13.5" customHeight="1">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row>
    <row r="741" ht="13.5" customHeight="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row>
    <row r="742" ht="13.5" customHeight="1">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row>
    <row r="743" ht="13.5" customHeight="1">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row>
    <row r="744" ht="13.5" customHeight="1">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row>
    <row r="745" ht="13.5" customHeight="1">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row>
    <row r="746" ht="13.5" customHeight="1">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row>
    <row r="747" ht="13.5" customHeight="1">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row>
    <row r="748" ht="13.5" customHeight="1">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row>
    <row r="749" ht="13.5" customHeight="1">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row>
    <row r="750" ht="13.5" customHeight="1">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row>
    <row r="751" ht="13.5" customHeight="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row>
    <row r="752" ht="13.5" customHeight="1">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row>
    <row r="753" ht="13.5" customHeight="1">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row>
    <row r="754" ht="13.5" customHeight="1">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row>
    <row r="755" ht="13.5" customHeight="1">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row>
    <row r="756" ht="13.5" customHeight="1">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row>
    <row r="757" ht="13.5" customHeight="1">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row>
    <row r="758" ht="13.5" customHeight="1">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row>
    <row r="759" ht="13.5" customHeight="1">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row>
    <row r="760" ht="13.5" customHeight="1">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row>
    <row r="761" ht="13.5" customHeight="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row>
    <row r="762" ht="13.5" customHeight="1">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row>
    <row r="763" ht="13.5" customHeight="1">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row>
    <row r="764" ht="13.5" customHeight="1">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row>
    <row r="765" ht="13.5" customHeight="1">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row>
    <row r="766" ht="13.5" customHeight="1">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row>
    <row r="767" ht="13.5" customHeight="1">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row>
    <row r="768" ht="13.5" customHeight="1">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row>
    <row r="769" ht="13.5" customHeight="1">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row>
    <row r="770" ht="13.5" customHeight="1">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row>
    <row r="771" ht="13.5" customHeight="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row>
    <row r="772" ht="13.5" customHeight="1">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row>
    <row r="773" ht="13.5" customHeight="1">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row>
    <row r="774" ht="13.5" customHeight="1">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row>
    <row r="775" ht="13.5" customHeight="1">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row>
    <row r="776" ht="13.5" customHeight="1">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row>
    <row r="777" ht="13.5" customHeight="1">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row>
    <row r="778" ht="13.5" customHeight="1">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row>
    <row r="779" ht="13.5" customHeight="1">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row>
    <row r="780" ht="13.5" customHeight="1">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row>
    <row r="781" ht="13.5" customHeight="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row>
    <row r="782" ht="13.5" customHeight="1">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row>
    <row r="783" ht="13.5" customHeight="1">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row>
    <row r="784" ht="13.5" customHeight="1">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row>
    <row r="785" ht="13.5" customHeight="1">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row>
    <row r="786" ht="13.5" customHeight="1">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row>
    <row r="787" ht="13.5" customHeight="1">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row>
    <row r="788" ht="13.5" customHeight="1">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row>
    <row r="789" ht="13.5" customHeight="1">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row>
    <row r="790" ht="13.5" customHeight="1">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row>
    <row r="791" ht="13.5" customHeight="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row>
    <row r="792" ht="13.5" customHeight="1">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row>
    <row r="793" ht="13.5" customHeight="1">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row>
    <row r="794" ht="13.5" customHeight="1">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row>
    <row r="795" ht="13.5" customHeight="1">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row>
    <row r="796" ht="13.5" customHeight="1">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row>
    <row r="797" ht="13.5" customHeight="1">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row>
    <row r="798" ht="13.5" customHeight="1">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row>
    <row r="799" ht="13.5" customHeight="1">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row>
    <row r="800" ht="13.5" customHeight="1">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row>
    <row r="801" ht="13.5" customHeight="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row>
    <row r="802" ht="13.5" customHeight="1">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row>
    <row r="803" ht="13.5" customHeight="1">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row>
    <row r="804" ht="13.5" customHeight="1">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row>
    <row r="805" ht="13.5" customHeight="1">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row>
    <row r="806" ht="13.5" customHeight="1">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row>
    <row r="807" ht="13.5" customHeight="1">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row>
    <row r="808" ht="13.5" customHeight="1">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row>
    <row r="809" ht="13.5" customHeight="1">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row>
    <row r="810" ht="13.5" customHeight="1">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row>
    <row r="811" ht="13.5" customHeight="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row>
    <row r="812" ht="13.5" customHeight="1">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row>
    <row r="813" ht="13.5" customHeight="1">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row>
    <row r="814" ht="13.5" customHeight="1">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row>
    <row r="815" ht="13.5" customHeight="1">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row>
    <row r="816" ht="13.5" customHeight="1">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row>
    <row r="817" ht="13.5" customHeight="1">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row>
    <row r="818" ht="13.5" customHeight="1">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row>
    <row r="819" ht="13.5" customHeight="1">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row>
    <row r="820" ht="13.5" customHeight="1">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row>
    <row r="821" ht="13.5" customHeight="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row>
    <row r="822" ht="13.5" customHeight="1">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row>
    <row r="823" ht="13.5" customHeight="1">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row>
    <row r="824" ht="13.5" customHeight="1">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row>
    <row r="825" ht="13.5" customHeight="1">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row>
    <row r="826" ht="13.5" customHeight="1">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row>
    <row r="827" ht="13.5" customHeight="1">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row>
    <row r="828" ht="13.5" customHeight="1">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row>
    <row r="829" ht="13.5" customHeight="1">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row>
    <row r="830" ht="13.5" customHeight="1">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row>
    <row r="831" ht="13.5" customHeight="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row>
    <row r="832" ht="13.5" customHeight="1">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row>
    <row r="833" ht="13.5" customHeight="1">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row>
    <row r="834" ht="13.5" customHeight="1">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row>
    <row r="835" ht="13.5" customHeight="1">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row>
    <row r="836" ht="13.5" customHeight="1">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row>
    <row r="837" ht="13.5" customHeight="1">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row>
    <row r="838" ht="13.5" customHeight="1">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row>
    <row r="839" ht="13.5" customHeight="1">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row>
    <row r="840" ht="13.5" customHeight="1">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row>
    <row r="841" ht="13.5" customHeight="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row>
    <row r="842" ht="13.5" customHeight="1">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row>
    <row r="843" ht="13.5" customHeight="1">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row>
    <row r="844" ht="13.5" customHeight="1">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row>
    <row r="845" ht="13.5" customHeight="1">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row>
    <row r="846" ht="13.5" customHeight="1">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row>
    <row r="847" ht="13.5" customHeight="1">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row>
    <row r="848" ht="13.5" customHeight="1">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row>
    <row r="849" ht="13.5" customHeight="1">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row>
    <row r="850" ht="13.5" customHeight="1">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row>
    <row r="851" ht="13.5" customHeight="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row>
    <row r="852" ht="13.5" customHeight="1">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row>
    <row r="853" ht="13.5" customHeight="1">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row>
    <row r="854" ht="13.5" customHeight="1">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row>
    <row r="855" ht="13.5" customHeight="1">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row>
    <row r="856" ht="13.5" customHeight="1">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row>
    <row r="857" ht="13.5" customHeight="1">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row>
    <row r="858" ht="13.5" customHeight="1">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row>
    <row r="859" ht="13.5" customHeight="1">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row>
    <row r="860" ht="13.5" customHeight="1">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row>
    <row r="861" ht="13.5" customHeight="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row>
    <row r="862" ht="13.5" customHeight="1">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row>
    <row r="863" ht="13.5" customHeight="1">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row>
    <row r="864" ht="13.5" customHeight="1">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row>
    <row r="865" ht="13.5" customHeight="1">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row>
    <row r="866" ht="13.5" customHeight="1">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row>
    <row r="867" ht="13.5" customHeight="1">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row>
    <row r="868" ht="13.5" customHeight="1">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row>
    <row r="869" ht="13.5" customHeight="1">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row>
    <row r="870" ht="13.5" customHeight="1">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row>
    <row r="871" ht="13.5" customHeight="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row>
    <row r="872" ht="13.5" customHeight="1">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row>
    <row r="873" ht="13.5" customHeight="1">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row>
    <row r="874" ht="13.5" customHeight="1">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row>
    <row r="875" ht="13.5" customHeight="1">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row>
    <row r="876" ht="13.5" customHeight="1">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row>
    <row r="877" ht="13.5" customHeight="1">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row>
    <row r="878" ht="13.5" customHeight="1">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row>
    <row r="879" ht="13.5" customHeight="1">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row>
    <row r="880" ht="13.5" customHeight="1">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row>
    <row r="881" ht="13.5" customHeight="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row>
    <row r="882" ht="13.5" customHeight="1">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row>
    <row r="883" ht="13.5" customHeight="1">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row>
    <row r="884" ht="13.5" customHeight="1">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row>
    <row r="885" ht="13.5" customHeight="1">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row>
    <row r="886" ht="13.5" customHeight="1">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row>
    <row r="887" ht="13.5" customHeight="1">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row>
    <row r="888" ht="13.5" customHeight="1">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row>
    <row r="889" ht="13.5" customHeight="1">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row>
    <row r="890" ht="13.5" customHeight="1">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row>
    <row r="891" ht="13.5" customHeight="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row>
    <row r="892" ht="13.5" customHeight="1">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row>
    <row r="893" ht="13.5" customHeight="1">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row>
    <row r="894" ht="13.5" customHeight="1">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row>
    <row r="895" ht="13.5" customHeight="1">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row>
    <row r="896" ht="13.5" customHeight="1">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row>
    <row r="897" ht="13.5" customHeight="1">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row>
    <row r="898" ht="13.5" customHeight="1">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row>
    <row r="899" ht="13.5" customHeight="1">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row>
    <row r="900" ht="13.5" customHeight="1">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row>
    <row r="901" ht="13.5" customHeight="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row>
    <row r="902" ht="13.5" customHeight="1">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row>
    <row r="903" ht="13.5" customHeight="1">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row>
    <row r="904" ht="13.5" customHeight="1">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row>
    <row r="905" ht="13.5" customHeight="1">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row>
    <row r="906" ht="13.5" customHeight="1">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row>
    <row r="907" ht="13.5" customHeight="1">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row>
    <row r="908" ht="13.5" customHeight="1">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row>
    <row r="909" ht="13.5" customHeight="1">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row>
    <row r="910" ht="13.5" customHeight="1">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row>
    <row r="911" ht="13.5" customHeight="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row>
    <row r="912" ht="13.5" customHeight="1">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row>
    <row r="913" ht="13.5" customHeight="1">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row>
    <row r="914" ht="13.5" customHeight="1">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row>
    <row r="915" ht="13.5" customHeight="1">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row>
    <row r="916" ht="13.5" customHeight="1">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row>
    <row r="917" ht="13.5" customHeight="1">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row>
    <row r="918" ht="13.5" customHeight="1">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row>
    <row r="919" ht="13.5" customHeight="1">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row>
    <row r="920" ht="13.5" customHeight="1">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row>
    <row r="921" ht="13.5" customHeight="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row>
    <row r="922" ht="13.5" customHeight="1">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row>
    <row r="923" ht="13.5" customHeight="1">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row>
    <row r="924" ht="13.5" customHeight="1">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row>
    <row r="925" ht="13.5" customHeight="1">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row>
    <row r="926" ht="13.5" customHeight="1">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row>
    <row r="927" ht="13.5" customHeight="1">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row>
    <row r="928" ht="13.5" customHeight="1">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row>
    <row r="929" ht="13.5" customHeight="1">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row>
    <row r="930" ht="13.5" customHeight="1">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row>
    <row r="931" ht="13.5" customHeight="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row>
    <row r="932" ht="13.5" customHeight="1">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row>
    <row r="933" ht="13.5" customHeight="1">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row>
    <row r="934" ht="13.5" customHeight="1">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row>
    <row r="935" ht="13.5" customHeight="1">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row>
    <row r="936" ht="13.5" customHeight="1">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row>
    <row r="937" ht="13.5" customHeight="1">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row>
    <row r="938" ht="13.5" customHeight="1">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row>
    <row r="939" ht="13.5" customHeight="1">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row>
    <row r="940" ht="13.5" customHeight="1">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row>
    <row r="941" ht="13.5" customHeight="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row>
    <row r="942" ht="13.5" customHeight="1">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row>
    <row r="943" ht="13.5" customHeight="1">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row>
    <row r="944" ht="13.5" customHeight="1">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row>
    <row r="945" ht="13.5" customHeight="1">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row>
    <row r="946" ht="13.5" customHeight="1">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row>
    <row r="947" ht="13.5" customHeight="1">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row>
    <row r="948" ht="13.5" customHeight="1">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row>
    <row r="949" ht="13.5" customHeight="1">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row>
    <row r="950" ht="13.5" customHeight="1">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row>
    <row r="951" ht="13.5" customHeight="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row>
    <row r="952" ht="13.5" customHeight="1">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row>
    <row r="953" ht="13.5" customHeight="1">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row>
    <row r="954" ht="13.5" customHeight="1">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row>
    <row r="955" ht="13.5" customHeight="1">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row>
    <row r="956" ht="13.5" customHeight="1">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row>
    <row r="957" ht="13.5" customHeight="1">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row>
    <row r="958" ht="13.5" customHeight="1">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row>
    <row r="959" ht="13.5" customHeight="1">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row>
    <row r="960" ht="13.5" customHeight="1">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row>
    <row r="961" ht="13.5" customHeight="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row>
    <row r="962" ht="13.5" customHeight="1">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row>
    <row r="963" ht="13.5" customHeight="1">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row>
    <row r="964" ht="13.5" customHeight="1">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row>
    <row r="965" ht="13.5" customHeight="1">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row>
    <row r="966" ht="13.5" customHeight="1">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row>
    <row r="967" ht="13.5" customHeight="1">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row>
    <row r="968" ht="13.5" customHeight="1">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row>
    <row r="969" ht="13.5" customHeight="1">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row>
    <row r="970" ht="13.5" customHeight="1">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row>
    <row r="971" ht="13.5" customHeight="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row>
    <row r="972" ht="13.5" customHeight="1">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row>
    <row r="973" ht="13.5" customHeight="1">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row>
    <row r="974" ht="13.5" customHeight="1">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row>
    <row r="975" ht="13.5" customHeight="1">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row>
    <row r="976" ht="13.5" customHeight="1">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row>
    <row r="977" ht="13.5" customHeight="1">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row>
    <row r="978" ht="13.5" customHeight="1">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row>
    <row r="979" ht="13.5" customHeight="1">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row>
    <row r="980" ht="13.5" customHeight="1">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row>
    <row r="981" ht="13.5" customHeight="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row>
    <row r="982" ht="13.5" customHeight="1">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row>
    <row r="983" ht="13.5" customHeight="1">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row>
    <row r="984" ht="13.5" customHeight="1">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row>
    <row r="985" ht="13.5" customHeight="1">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row>
    <row r="986" ht="13.5" customHeight="1">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row>
    <row r="987" ht="13.5" customHeight="1">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row>
    <row r="988" ht="13.5" customHeight="1">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row>
    <row r="989" ht="13.5" customHeight="1">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row>
    <row r="990" ht="13.5" customHeight="1">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row>
    <row r="991" ht="13.5" customHeight="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row>
    <row r="992" ht="13.5" customHeight="1">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row>
    <row r="993" ht="13.5" customHeight="1">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row>
    <row r="994" ht="13.5" customHeight="1">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row>
    <row r="995" ht="13.5" customHeight="1">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row>
    <row r="996" ht="13.5" customHeight="1">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row>
    <row r="997" ht="13.5" customHeight="1">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row>
    <row r="998" ht="13.5" customHeight="1">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row>
    <row r="999" ht="13.5" customHeight="1">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row>
    <row r="1000" ht="13.5" customHeight="1">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c r="AB1000" s="124"/>
    </row>
  </sheetData>
  <mergeCells count="2">
    <mergeCell ref="E2:J4"/>
    <mergeCell ref="W4:AA5"/>
  </mergeCells>
  <printOptions/>
  <pageMargins bottom="0.75" footer="0.0" header="0.0" left="0.7" right="0.7" top="0.75"/>
  <pageSetup orientation="landscape"/>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13.86"/>
    <col customWidth="1" min="4" max="4" width="26.86"/>
    <col customWidth="1" min="5" max="5" width="15.86"/>
    <col customWidth="1" min="6" max="6" width="20.71"/>
    <col customWidth="1" min="7" max="7" width="32.71"/>
    <col customWidth="1" min="8" max="8" width="29.43"/>
    <col customWidth="1" min="9" max="9" width="24.0"/>
    <col customWidth="1" min="10" max="10" width="14.57"/>
    <col customWidth="1" min="11" max="13" width="8.86"/>
    <col customWidth="1" min="14" max="14" width="28.86"/>
    <col customWidth="1" min="15" max="15" width="20.57"/>
    <col customWidth="1" min="16" max="16" width="26.57"/>
    <col customWidth="1" min="17" max="17" width="15.86"/>
    <col customWidth="1" min="18" max="23" width="8.86"/>
    <col customWidth="1" min="24" max="24" width="14.0"/>
    <col customWidth="1" min="25" max="25" width="17.86"/>
    <col customWidth="1" min="26" max="26" width="15.57"/>
    <col customWidth="1" min="27" max="27" width="32.86"/>
    <col customWidth="1" min="28" max="28" width="16.43"/>
  </cols>
  <sheetData>
    <row r="1" ht="13.5" customHeight="1">
      <c r="A1" s="124"/>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row>
    <row r="2" ht="13.5" customHeight="1">
      <c r="A2" s="124"/>
      <c r="B2" s="124"/>
      <c r="C2" s="124"/>
      <c r="D2" s="124"/>
      <c r="E2" s="150" t="s">
        <v>880</v>
      </c>
      <c r="F2" s="79"/>
      <c r="G2" s="79"/>
      <c r="H2" s="79"/>
      <c r="I2" s="79"/>
      <c r="J2" s="80"/>
      <c r="K2" s="124"/>
      <c r="L2" s="124"/>
      <c r="M2" s="124"/>
      <c r="N2" s="124"/>
      <c r="O2" s="124"/>
      <c r="P2" s="124"/>
      <c r="Q2" s="124"/>
      <c r="R2" s="124"/>
      <c r="S2" s="124"/>
      <c r="T2" s="124"/>
      <c r="U2" s="124"/>
      <c r="V2" s="124"/>
      <c r="W2" s="124"/>
      <c r="X2" s="124"/>
      <c r="Y2" s="124"/>
      <c r="Z2" s="124"/>
      <c r="AA2" s="124"/>
      <c r="AB2" s="124"/>
    </row>
    <row r="3" ht="13.5" customHeight="1">
      <c r="A3" s="124"/>
      <c r="B3" s="124"/>
      <c r="C3" s="124"/>
      <c r="D3" s="124"/>
      <c r="E3" s="81"/>
      <c r="J3" s="82"/>
      <c r="K3" s="124"/>
      <c r="L3" s="124"/>
      <c r="M3" s="124"/>
      <c r="N3" s="124"/>
      <c r="O3" s="124"/>
      <c r="P3" s="124"/>
      <c r="Q3" s="124"/>
      <c r="R3" s="124"/>
      <c r="S3" s="124"/>
      <c r="T3" s="124"/>
      <c r="U3" s="124"/>
      <c r="V3" s="124"/>
      <c r="W3" s="124"/>
      <c r="X3" s="124"/>
      <c r="Y3" s="124"/>
      <c r="Z3" s="124"/>
      <c r="AA3" s="124"/>
      <c r="AB3" s="124"/>
    </row>
    <row r="4" ht="13.5" customHeight="1">
      <c r="A4" s="124"/>
      <c r="B4" s="124"/>
      <c r="C4" s="124"/>
      <c r="D4" s="124"/>
      <c r="E4" s="83"/>
      <c r="F4" s="84"/>
      <c r="G4" s="84"/>
      <c r="H4" s="84"/>
      <c r="I4" s="84"/>
      <c r="J4" s="85"/>
      <c r="K4" s="124"/>
      <c r="L4" s="124"/>
      <c r="M4" s="124"/>
      <c r="N4" s="124"/>
      <c r="O4" s="124"/>
      <c r="P4" s="124"/>
      <c r="Q4" s="124"/>
      <c r="R4" s="124"/>
      <c r="S4" s="124"/>
      <c r="T4" s="124"/>
      <c r="U4" s="124"/>
      <c r="V4" s="124"/>
      <c r="W4" s="86" t="s">
        <v>615</v>
      </c>
      <c r="X4" s="79"/>
      <c r="Y4" s="79"/>
      <c r="Z4" s="79"/>
      <c r="AA4" s="80"/>
      <c r="AB4" s="124"/>
    </row>
    <row r="5" ht="13.5" customHeight="1">
      <c r="A5" s="124"/>
      <c r="B5" s="124"/>
      <c r="C5" s="124"/>
      <c r="D5" s="124"/>
      <c r="E5" s="124"/>
      <c r="F5" s="124"/>
      <c r="G5" s="124"/>
      <c r="H5" s="124"/>
      <c r="I5" s="124"/>
      <c r="J5" s="124"/>
      <c r="K5" s="124"/>
      <c r="L5" s="124"/>
      <c r="M5" s="124"/>
      <c r="N5" s="124"/>
      <c r="O5" s="124"/>
      <c r="P5" s="124"/>
      <c r="Q5" s="124"/>
      <c r="R5" s="124"/>
      <c r="S5" s="124"/>
      <c r="T5" s="124"/>
      <c r="U5" s="124"/>
      <c r="V5" s="124"/>
      <c r="W5" s="83"/>
      <c r="X5" s="84"/>
      <c r="Y5" s="84"/>
      <c r="Z5" s="84"/>
      <c r="AA5" s="85"/>
      <c r="AB5" s="124"/>
    </row>
    <row r="6" ht="13.5" customHeight="1">
      <c r="A6" s="124"/>
      <c r="B6" s="124"/>
      <c r="C6" s="120" t="s">
        <v>293</v>
      </c>
      <c r="D6" s="121" t="s">
        <v>295</v>
      </c>
      <c r="E6" s="121" t="s">
        <v>296</v>
      </c>
      <c r="F6" s="121" t="s">
        <v>297</v>
      </c>
      <c r="G6" s="121" t="s">
        <v>709</v>
      </c>
      <c r="H6" s="121" t="s">
        <v>298</v>
      </c>
      <c r="I6" s="121" t="s">
        <v>299</v>
      </c>
      <c r="J6" s="121" t="s">
        <v>619</v>
      </c>
      <c r="K6" s="122" t="s">
        <v>301</v>
      </c>
      <c r="L6" s="122" t="s">
        <v>681</v>
      </c>
      <c r="M6" s="122" t="s">
        <v>682</v>
      </c>
      <c r="N6" s="122" t="s">
        <v>621</v>
      </c>
      <c r="O6" s="122" t="s">
        <v>405</v>
      </c>
      <c r="P6" s="123" t="s">
        <v>622</v>
      </c>
      <c r="Q6" s="88" t="s">
        <v>624</v>
      </c>
      <c r="R6" s="92"/>
      <c r="S6" s="92"/>
      <c r="T6" s="92"/>
      <c r="U6" s="124"/>
      <c r="V6" s="124"/>
      <c r="W6" s="92" t="s">
        <v>636</v>
      </c>
      <c r="X6" s="92" t="s">
        <v>854</v>
      </c>
      <c r="Y6" s="125" t="s">
        <v>855</v>
      </c>
      <c r="Z6" s="92" t="s">
        <v>856</v>
      </c>
      <c r="AA6" s="124"/>
      <c r="AB6" s="124"/>
    </row>
    <row r="7" ht="13.5" customHeight="1">
      <c r="A7" s="124"/>
      <c r="B7" s="124"/>
      <c r="C7" s="124">
        <v>1.0</v>
      </c>
      <c r="D7" s="91" t="s">
        <v>277</v>
      </c>
      <c r="E7" s="110" t="s">
        <v>304</v>
      </c>
      <c r="F7" s="110" t="s">
        <v>881</v>
      </c>
      <c r="G7" s="127">
        <v>45756.0</v>
      </c>
      <c r="H7" s="110" t="s">
        <v>882</v>
      </c>
      <c r="I7" s="153" t="s">
        <v>714</v>
      </c>
      <c r="J7" s="110">
        <v>15000.0</v>
      </c>
      <c r="K7" s="110">
        <v>10000.0</v>
      </c>
      <c r="L7" s="110"/>
      <c r="M7" s="110"/>
      <c r="N7" s="91" t="s">
        <v>883</v>
      </c>
      <c r="O7" s="110">
        <v>5000.0</v>
      </c>
      <c r="P7" s="110"/>
      <c r="Q7" s="91"/>
      <c r="R7" s="92"/>
      <c r="S7" s="92"/>
      <c r="T7" s="92"/>
      <c r="U7" s="124"/>
      <c r="V7" s="124"/>
      <c r="W7" s="92">
        <v>1600.0</v>
      </c>
      <c r="X7" s="92" t="s">
        <v>309</v>
      </c>
      <c r="Y7" s="125">
        <v>45666.0</v>
      </c>
      <c r="Z7" s="92" t="s">
        <v>355</v>
      </c>
      <c r="AA7" s="124"/>
      <c r="AB7" s="124"/>
    </row>
    <row r="8" ht="13.5" customHeight="1">
      <c r="A8" s="124"/>
      <c r="B8" s="124"/>
      <c r="C8" s="124">
        <v>2.0</v>
      </c>
      <c r="D8" s="91" t="s">
        <v>442</v>
      </c>
      <c r="E8" s="110" t="s">
        <v>304</v>
      </c>
      <c r="F8" s="110" t="s">
        <v>881</v>
      </c>
      <c r="G8" s="127">
        <v>45847.0</v>
      </c>
      <c r="H8" s="110" t="s">
        <v>690</v>
      </c>
      <c r="I8" s="153" t="s">
        <v>884</v>
      </c>
      <c r="J8" s="92">
        <v>70000.0</v>
      </c>
      <c r="K8" s="145">
        <v>15000.0</v>
      </c>
      <c r="L8" s="97"/>
      <c r="M8" s="97"/>
      <c r="N8" s="91" t="s">
        <v>883</v>
      </c>
      <c r="O8" s="110">
        <v>25000.0</v>
      </c>
      <c r="P8" s="110"/>
      <c r="Q8" s="91"/>
      <c r="R8" s="92"/>
      <c r="S8" s="92"/>
      <c r="T8" s="92"/>
      <c r="U8" s="124"/>
      <c r="V8" s="124"/>
      <c r="W8" s="92">
        <v>11700.0</v>
      </c>
      <c r="X8" s="92" t="s">
        <v>806</v>
      </c>
      <c r="Y8" s="185" t="s">
        <v>885</v>
      </c>
      <c r="Z8" s="92" t="s">
        <v>304</v>
      </c>
      <c r="AA8" s="124"/>
      <c r="AB8" s="124"/>
    </row>
    <row r="9" ht="13.5" customHeight="1">
      <c r="A9" s="124"/>
      <c r="B9" s="124"/>
      <c r="C9" s="124"/>
      <c r="D9" s="91" t="s">
        <v>446</v>
      </c>
      <c r="E9" s="110" t="s">
        <v>304</v>
      </c>
      <c r="F9" s="110" t="s">
        <v>169</v>
      </c>
      <c r="G9" s="127">
        <v>45909.0</v>
      </c>
      <c r="H9" s="110" t="s">
        <v>690</v>
      </c>
      <c r="I9" s="153" t="s">
        <v>714</v>
      </c>
      <c r="J9" s="92">
        <v>30000.0</v>
      </c>
      <c r="K9" s="145">
        <v>6000.0</v>
      </c>
      <c r="L9" s="97"/>
      <c r="M9" s="97"/>
      <c r="N9" s="91" t="s">
        <v>883</v>
      </c>
      <c r="O9" s="110">
        <v>24000.0</v>
      </c>
      <c r="P9" s="110"/>
      <c r="Q9" s="91"/>
      <c r="R9" s="92"/>
      <c r="S9" s="92"/>
      <c r="T9" s="92"/>
      <c r="U9" s="124"/>
      <c r="V9" s="124"/>
      <c r="W9" s="92">
        <v>4860.0</v>
      </c>
      <c r="X9" s="92" t="s">
        <v>806</v>
      </c>
      <c r="Y9" s="185">
        <v>45901.0</v>
      </c>
      <c r="Z9" s="92" t="s">
        <v>56</v>
      </c>
      <c r="AA9" s="124"/>
      <c r="AB9" s="124"/>
    </row>
    <row r="10" ht="13.5" customHeight="1">
      <c r="A10" s="124"/>
      <c r="B10" s="124"/>
      <c r="C10" s="124">
        <v>3.0</v>
      </c>
      <c r="D10" s="91" t="s">
        <v>886</v>
      </c>
      <c r="E10" s="110" t="s">
        <v>355</v>
      </c>
      <c r="F10" s="110" t="s">
        <v>887</v>
      </c>
      <c r="G10" s="154">
        <v>45970.0</v>
      </c>
      <c r="H10" s="110" t="s">
        <v>449</v>
      </c>
      <c r="I10" s="153" t="s">
        <v>714</v>
      </c>
      <c r="J10" s="110">
        <v>200000.0</v>
      </c>
      <c r="K10" s="110">
        <v>85000.0</v>
      </c>
      <c r="L10" s="110"/>
      <c r="M10" s="110"/>
      <c r="N10" s="91" t="s">
        <v>888</v>
      </c>
      <c r="O10" s="110">
        <v>115000.0</v>
      </c>
      <c r="P10" s="110" t="s">
        <v>889</v>
      </c>
      <c r="Q10" s="91"/>
      <c r="R10" s="92"/>
      <c r="S10" s="92"/>
      <c r="T10" s="92"/>
      <c r="U10" s="124"/>
      <c r="V10" s="124"/>
      <c r="W10" s="92">
        <v>18770.0</v>
      </c>
      <c r="X10" s="92" t="s">
        <v>844</v>
      </c>
      <c r="Y10" s="185" t="s">
        <v>890</v>
      </c>
      <c r="Z10" s="92" t="s">
        <v>856</v>
      </c>
      <c r="AA10" s="124" t="s">
        <v>891</v>
      </c>
      <c r="AB10" s="124"/>
    </row>
    <row r="11" ht="13.5" customHeight="1">
      <c r="A11" s="124"/>
      <c r="B11" s="124"/>
      <c r="C11" s="124">
        <v>4.0</v>
      </c>
      <c r="D11" s="91" t="s">
        <v>442</v>
      </c>
      <c r="E11" s="110" t="s">
        <v>304</v>
      </c>
      <c r="F11" s="110" t="s">
        <v>881</v>
      </c>
      <c r="G11" s="154" t="s">
        <v>892</v>
      </c>
      <c r="H11" s="110" t="s">
        <v>502</v>
      </c>
      <c r="I11" s="153" t="s">
        <v>504</v>
      </c>
      <c r="J11" s="110">
        <v>264000.0</v>
      </c>
      <c r="K11" s="189">
        <v>247000.0</v>
      </c>
      <c r="L11" s="110"/>
      <c r="M11" s="110"/>
      <c r="N11" s="91" t="s">
        <v>893</v>
      </c>
      <c r="O11" s="110">
        <v>17000.0</v>
      </c>
      <c r="P11" s="110"/>
      <c r="Q11" s="91"/>
      <c r="R11" s="110"/>
      <c r="S11" s="110"/>
      <c r="T11" s="110"/>
      <c r="U11" s="124"/>
      <c r="V11" s="124"/>
      <c r="W11" s="92">
        <v>15270.0</v>
      </c>
      <c r="X11" s="92" t="s">
        <v>894</v>
      </c>
      <c r="Y11" s="145" t="s">
        <v>890</v>
      </c>
      <c r="Z11" s="92" t="s">
        <v>304</v>
      </c>
      <c r="AA11" s="124"/>
      <c r="AB11" s="124"/>
    </row>
    <row r="12" ht="13.5" customHeight="1">
      <c r="A12" s="124"/>
      <c r="B12" s="124"/>
      <c r="C12" s="124">
        <v>5.0</v>
      </c>
      <c r="D12" s="91" t="s">
        <v>895</v>
      </c>
      <c r="E12" s="92" t="s">
        <v>355</v>
      </c>
      <c r="F12" s="92" t="s">
        <v>896</v>
      </c>
      <c r="G12" s="145" t="s">
        <v>897</v>
      </c>
      <c r="H12" s="92" t="s">
        <v>898</v>
      </c>
      <c r="I12" s="157" t="s">
        <v>414</v>
      </c>
      <c r="J12" s="92">
        <v>750000.0</v>
      </c>
      <c r="K12" s="92">
        <v>450000.0</v>
      </c>
      <c r="L12" s="92"/>
      <c r="M12" s="92"/>
      <c r="N12" s="92" t="s">
        <v>899</v>
      </c>
      <c r="O12" s="92">
        <v>300000.0</v>
      </c>
      <c r="P12" s="92"/>
      <c r="Q12" s="92"/>
      <c r="R12" s="110"/>
      <c r="S12" s="110"/>
      <c r="T12" s="110"/>
      <c r="U12" s="124"/>
      <c r="V12" s="124"/>
      <c r="W12" s="92">
        <v>2000.0</v>
      </c>
      <c r="X12" s="92" t="s">
        <v>900</v>
      </c>
      <c r="Y12" s="185" t="s">
        <v>890</v>
      </c>
      <c r="Z12" s="92" t="s">
        <v>304</v>
      </c>
      <c r="AA12" s="124"/>
      <c r="AB12" s="124"/>
    </row>
    <row r="13" ht="14.25" customHeight="1">
      <c r="A13" s="124"/>
      <c r="B13" s="124"/>
      <c r="C13" s="124">
        <v>6.0</v>
      </c>
      <c r="D13" s="91"/>
      <c r="E13" s="92"/>
      <c r="F13" s="92"/>
      <c r="G13" s="145"/>
      <c r="H13" s="186"/>
      <c r="I13" s="156"/>
      <c r="J13" s="145"/>
      <c r="K13" s="97"/>
      <c r="L13" s="97"/>
      <c r="M13" s="97"/>
      <c r="N13" s="92"/>
      <c r="O13" s="92"/>
      <c r="P13" s="92"/>
      <c r="Q13" s="92"/>
      <c r="R13" s="110"/>
      <c r="S13" s="110"/>
      <c r="T13" s="110"/>
      <c r="U13" s="124"/>
      <c r="V13" s="124"/>
      <c r="W13" s="92">
        <v>3300.0</v>
      </c>
      <c r="X13" s="92" t="s">
        <v>901</v>
      </c>
      <c r="Y13" s="185" t="s">
        <v>890</v>
      </c>
      <c r="Z13" s="92" t="s">
        <v>304</v>
      </c>
      <c r="AA13" s="124"/>
      <c r="AB13" s="124"/>
    </row>
    <row r="14" ht="13.5" customHeight="1">
      <c r="A14" s="124"/>
      <c r="B14" s="124"/>
      <c r="C14" s="124">
        <v>7.0</v>
      </c>
      <c r="D14" s="91"/>
      <c r="E14" s="110"/>
      <c r="F14" s="110"/>
      <c r="G14" s="110"/>
      <c r="H14" s="110"/>
      <c r="I14" s="157"/>
      <c r="J14" s="145"/>
      <c r="K14" s="97"/>
      <c r="L14" s="97"/>
      <c r="M14" s="97"/>
      <c r="N14" s="91"/>
      <c r="O14" s="110"/>
      <c r="P14" s="110"/>
      <c r="Q14" s="91"/>
      <c r="R14" s="110"/>
      <c r="S14" s="110"/>
      <c r="T14" s="110"/>
      <c r="U14" s="124"/>
      <c r="V14" s="124"/>
      <c r="W14" s="187">
        <v>8000.0</v>
      </c>
      <c r="X14" s="187" t="s">
        <v>902</v>
      </c>
      <c r="Y14" s="188" t="s">
        <v>890</v>
      </c>
      <c r="Z14" s="187" t="s">
        <v>304</v>
      </c>
      <c r="AA14" s="124"/>
      <c r="AB14" s="124"/>
    </row>
    <row r="15" ht="13.5" customHeight="1">
      <c r="A15" s="124"/>
      <c r="B15" s="124"/>
      <c r="C15" s="124">
        <v>8.0</v>
      </c>
      <c r="D15" s="91"/>
      <c r="E15" s="110"/>
      <c r="F15" s="110"/>
      <c r="G15" s="127"/>
      <c r="H15" s="110"/>
      <c r="I15" s="153"/>
      <c r="J15" s="110"/>
      <c r="K15" s="110"/>
      <c r="L15" s="110"/>
      <c r="M15" s="110"/>
      <c r="N15" s="91"/>
      <c r="O15" s="110"/>
      <c r="P15" s="110"/>
      <c r="Q15" s="91"/>
      <c r="R15" s="110"/>
      <c r="S15" s="110"/>
      <c r="T15" s="110"/>
      <c r="U15" s="124"/>
      <c r="V15" s="124"/>
      <c r="W15" s="92">
        <v>3800.0</v>
      </c>
      <c r="X15" s="92" t="s">
        <v>244</v>
      </c>
      <c r="Y15" s="145" t="s">
        <v>903</v>
      </c>
      <c r="Z15" s="92" t="s">
        <v>355</v>
      </c>
      <c r="AA15" s="124"/>
      <c r="AB15" s="124"/>
    </row>
    <row r="16" ht="13.5" customHeight="1">
      <c r="A16" s="124"/>
      <c r="B16" s="124"/>
      <c r="C16" s="124">
        <v>9.0</v>
      </c>
      <c r="D16" s="91"/>
      <c r="E16" s="110"/>
      <c r="F16" s="110"/>
      <c r="G16" s="155"/>
      <c r="H16" s="110"/>
      <c r="I16" s="153"/>
      <c r="J16" s="92"/>
      <c r="K16" s="110"/>
      <c r="L16" s="110"/>
      <c r="M16" s="110"/>
      <c r="N16" s="91"/>
      <c r="O16" s="110"/>
      <c r="P16" s="110"/>
      <c r="Q16" s="91"/>
      <c r="R16" s="110"/>
      <c r="S16" s="110"/>
      <c r="T16" s="110"/>
      <c r="U16" s="124"/>
      <c r="V16" s="124"/>
      <c r="W16" s="92"/>
      <c r="X16" s="92"/>
      <c r="Y16" s="92"/>
      <c r="Z16" s="92"/>
      <c r="AA16" s="124"/>
      <c r="AB16" s="124"/>
    </row>
    <row r="17" ht="13.5" customHeight="1">
      <c r="A17" s="124"/>
      <c r="B17" s="124"/>
      <c r="C17" s="124">
        <v>10.0</v>
      </c>
      <c r="D17" s="91"/>
      <c r="E17" s="110"/>
      <c r="F17" s="110"/>
      <c r="G17" s="110"/>
      <c r="H17" s="110"/>
      <c r="I17" s="153"/>
      <c r="J17" s="92"/>
      <c r="K17" s="110"/>
      <c r="L17" s="110"/>
      <c r="M17" s="110"/>
      <c r="N17" s="91"/>
      <c r="O17" s="110"/>
      <c r="P17" s="110"/>
      <c r="Q17" s="91"/>
      <c r="R17" s="110"/>
      <c r="S17" s="110"/>
      <c r="T17" s="110"/>
      <c r="U17" s="124"/>
      <c r="V17" s="124"/>
      <c r="W17" s="92"/>
      <c r="X17" s="92"/>
      <c r="Y17" s="125"/>
      <c r="Z17" s="92"/>
      <c r="AA17" s="124"/>
      <c r="AB17" s="124"/>
    </row>
    <row r="18" ht="13.5" customHeight="1">
      <c r="A18" s="124"/>
      <c r="B18" s="124"/>
      <c r="C18" s="124">
        <v>3.0</v>
      </c>
      <c r="D18" s="91"/>
      <c r="E18" s="110"/>
      <c r="F18" s="110"/>
      <c r="G18" s="152"/>
      <c r="H18" s="110"/>
      <c r="I18" s="153"/>
      <c r="J18" s="92"/>
      <c r="K18" s="110"/>
      <c r="L18" s="110"/>
      <c r="M18" s="110"/>
      <c r="N18" s="91"/>
      <c r="O18" s="110"/>
      <c r="P18" s="110"/>
      <c r="Q18" s="91"/>
      <c r="R18" s="110"/>
      <c r="S18" s="110"/>
      <c r="T18" s="110"/>
      <c r="U18" s="124"/>
      <c r="V18" s="124"/>
      <c r="W18" s="92"/>
      <c r="X18" s="92"/>
      <c r="Y18" s="92"/>
      <c r="Z18" s="110"/>
      <c r="AA18" s="124"/>
      <c r="AB18" s="124"/>
    </row>
    <row r="19" ht="13.5" customHeight="1">
      <c r="A19" s="124"/>
      <c r="B19" s="124"/>
      <c r="C19" s="124">
        <v>14.0</v>
      </c>
      <c r="D19" s="91"/>
      <c r="E19" s="110"/>
      <c r="F19" s="110"/>
      <c r="G19" s="110"/>
      <c r="H19" s="110"/>
      <c r="I19" s="153"/>
      <c r="J19" s="110"/>
      <c r="K19" s="110"/>
      <c r="L19" s="110"/>
      <c r="M19" s="110"/>
      <c r="N19" s="91"/>
      <c r="O19" s="110"/>
      <c r="P19" s="110"/>
      <c r="Q19" s="91"/>
      <c r="R19" s="110"/>
      <c r="S19" s="110"/>
      <c r="T19" s="110"/>
      <c r="U19" s="124"/>
      <c r="V19" s="124"/>
      <c r="W19" s="92"/>
      <c r="X19" s="92"/>
      <c r="Y19" s="92"/>
      <c r="Z19" s="92"/>
      <c r="AA19" s="182"/>
      <c r="AB19" s="182"/>
    </row>
    <row r="20" ht="13.5" customHeight="1">
      <c r="A20" s="124"/>
      <c r="B20" s="124"/>
      <c r="C20" s="124"/>
      <c r="D20" s="91"/>
      <c r="E20" s="110"/>
      <c r="F20" s="110"/>
      <c r="G20" s="110"/>
      <c r="H20" s="110"/>
      <c r="I20" s="153"/>
      <c r="J20" s="110"/>
      <c r="K20" s="110"/>
      <c r="L20" s="110"/>
      <c r="M20" s="110"/>
      <c r="N20" s="91"/>
      <c r="O20" s="110"/>
      <c r="P20" s="110"/>
      <c r="Q20" s="91"/>
      <c r="R20" s="110"/>
      <c r="S20" s="110"/>
      <c r="T20" s="110"/>
      <c r="U20" s="124"/>
      <c r="V20" s="124"/>
      <c r="W20" s="110"/>
      <c r="X20" s="110"/>
      <c r="Y20" s="110"/>
      <c r="Z20" s="110"/>
      <c r="AA20" s="124"/>
      <c r="AB20" s="124"/>
    </row>
    <row r="21" ht="13.5" customHeight="1">
      <c r="A21" s="124"/>
      <c r="B21" s="124"/>
      <c r="C21" s="124"/>
      <c r="D21" s="91"/>
      <c r="E21" s="110"/>
      <c r="F21" s="110"/>
      <c r="G21" s="110"/>
      <c r="H21" s="110"/>
      <c r="I21" s="110"/>
      <c r="J21" s="110"/>
      <c r="K21" s="110"/>
      <c r="L21" s="110"/>
      <c r="M21" s="110"/>
      <c r="N21" s="91"/>
      <c r="O21" s="110"/>
      <c r="P21" s="110"/>
      <c r="Q21" s="91"/>
      <c r="R21" s="110"/>
      <c r="S21" s="110"/>
      <c r="T21" s="110"/>
      <c r="U21" s="124"/>
      <c r="V21" s="124"/>
      <c r="W21" s="124"/>
      <c r="X21" s="124"/>
      <c r="Y21" s="124"/>
      <c r="Z21" s="124"/>
      <c r="AA21" s="124"/>
      <c r="AB21" s="124"/>
    </row>
    <row r="22" ht="13.5" customHeight="1">
      <c r="A22" s="124"/>
      <c r="B22" s="124"/>
      <c r="C22" s="124"/>
      <c r="D22" s="91"/>
      <c r="E22" s="110"/>
      <c r="F22" s="110"/>
      <c r="G22" s="110"/>
      <c r="H22" s="110"/>
      <c r="I22" s="110"/>
      <c r="J22" s="110"/>
      <c r="K22" s="110"/>
      <c r="L22" s="110"/>
      <c r="M22" s="110"/>
      <c r="N22" s="91"/>
      <c r="O22" s="110"/>
      <c r="P22" s="110"/>
      <c r="Q22" s="91"/>
      <c r="R22" s="110"/>
      <c r="S22" s="110"/>
      <c r="T22" s="110"/>
      <c r="U22" s="124"/>
      <c r="V22" s="124"/>
      <c r="W22" s="124"/>
      <c r="X22" s="124"/>
      <c r="Y22" s="124"/>
      <c r="Z22" s="124"/>
      <c r="AA22" s="124"/>
      <c r="AB22" s="124"/>
    </row>
    <row r="23" ht="13.5" customHeight="1">
      <c r="A23" s="124"/>
      <c r="B23" s="124"/>
      <c r="C23" s="124"/>
      <c r="D23" s="91"/>
      <c r="E23" s="110"/>
      <c r="F23" s="110"/>
      <c r="G23" s="110"/>
      <c r="H23" s="110"/>
      <c r="I23" s="110"/>
      <c r="J23" s="110"/>
      <c r="K23" s="110"/>
      <c r="L23" s="110"/>
      <c r="M23" s="110"/>
      <c r="N23" s="91"/>
      <c r="O23" s="110"/>
      <c r="P23" s="110"/>
      <c r="Q23" s="91"/>
      <c r="R23" s="110"/>
      <c r="S23" s="110"/>
      <c r="T23" s="110"/>
      <c r="U23" s="124"/>
      <c r="V23" s="124"/>
      <c r="W23" s="124"/>
      <c r="X23" s="124"/>
      <c r="Y23" s="124"/>
      <c r="Z23" s="124"/>
      <c r="AA23" s="124"/>
      <c r="AB23" s="124"/>
    </row>
    <row r="24" ht="13.5" customHeight="1">
      <c r="A24" s="124"/>
      <c r="B24" s="124"/>
      <c r="C24" s="124"/>
      <c r="D24" s="110"/>
      <c r="E24" s="110"/>
      <c r="F24" s="110"/>
      <c r="G24" s="110"/>
      <c r="H24" s="110"/>
      <c r="I24" s="110"/>
      <c r="J24" s="110"/>
      <c r="K24" s="110"/>
      <c r="L24" s="110"/>
      <c r="M24" s="110"/>
      <c r="N24" s="91"/>
      <c r="O24" s="110"/>
      <c r="P24" s="110"/>
      <c r="Q24" s="110"/>
      <c r="R24" s="110"/>
      <c r="S24" s="110"/>
      <c r="T24" s="110"/>
      <c r="U24" s="161"/>
      <c r="V24" s="161"/>
      <c r="W24" s="124"/>
      <c r="X24" s="124"/>
      <c r="Y24" s="124"/>
      <c r="Z24" s="124"/>
      <c r="AA24" s="124"/>
      <c r="AB24" s="124"/>
    </row>
    <row r="25" ht="13.5" customHeight="1">
      <c r="A25" s="124"/>
      <c r="B25" s="124"/>
      <c r="C25" s="124"/>
      <c r="D25" s="124"/>
      <c r="E25" s="124"/>
      <c r="F25" s="110"/>
      <c r="G25" s="124"/>
      <c r="H25" s="124"/>
      <c r="I25" s="124"/>
      <c r="J25" s="124"/>
      <c r="K25" s="124"/>
      <c r="L25" s="124"/>
      <c r="M25" s="124"/>
      <c r="N25" s="124"/>
      <c r="O25" s="124"/>
      <c r="P25" s="124"/>
      <c r="Q25" s="124"/>
      <c r="R25" s="124"/>
      <c r="S25" s="124"/>
      <c r="T25" s="124"/>
      <c r="U25" s="124"/>
      <c r="V25" s="124"/>
      <c r="W25" s="124"/>
      <c r="X25" s="124"/>
      <c r="Y25" s="124"/>
      <c r="Z25" s="124"/>
      <c r="AA25" s="124"/>
      <c r="AB25" s="124"/>
    </row>
    <row r="26" ht="13.5" customHeight="1">
      <c r="A26" s="124"/>
      <c r="B26" s="124"/>
      <c r="C26" s="124"/>
      <c r="D26" s="124"/>
      <c r="E26" s="124"/>
      <c r="F26" s="110"/>
      <c r="G26" s="124"/>
      <c r="H26" s="124"/>
      <c r="I26" s="124"/>
      <c r="J26" s="124"/>
      <c r="K26" s="124"/>
      <c r="L26" s="124"/>
      <c r="M26" s="124"/>
      <c r="N26" s="124"/>
      <c r="O26" s="124"/>
      <c r="P26" s="124"/>
      <c r="Q26" s="124"/>
      <c r="R26" s="124"/>
      <c r="S26" s="124"/>
      <c r="T26" s="124"/>
      <c r="U26" s="124"/>
      <c r="V26" s="124"/>
      <c r="W26" s="124"/>
      <c r="X26" s="124"/>
      <c r="Y26" s="124"/>
      <c r="Z26" s="124"/>
      <c r="AA26" s="124"/>
      <c r="AB26" s="124"/>
    </row>
    <row r="27" ht="13.5" customHeight="1">
      <c r="A27" s="124"/>
      <c r="B27" s="124"/>
      <c r="C27" s="124"/>
      <c r="D27" s="124"/>
      <c r="E27" s="124"/>
      <c r="F27" s="110"/>
      <c r="G27" s="124"/>
      <c r="H27" s="124"/>
      <c r="I27" s="124"/>
      <c r="J27" s="124"/>
      <c r="K27" s="124"/>
      <c r="L27" s="124"/>
      <c r="M27" s="124"/>
      <c r="N27" s="124"/>
      <c r="O27" s="124"/>
      <c r="P27" s="124"/>
      <c r="Q27" s="124"/>
      <c r="R27" s="124"/>
      <c r="S27" s="124"/>
      <c r="T27" s="124"/>
      <c r="U27" s="124"/>
      <c r="V27" s="124"/>
      <c r="W27" s="124"/>
      <c r="X27" s="124"/>
      <c r="Y27" s="124"/>
      <c r="Z27" s="124"/>
      <c r="AA27" s="124"/>
      <c r="AB27" s="124"/>
    </row>
    <row r="28" ht="13.5" customHeight="1">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row>
    <row r="29" ht="13.5" customHeight="1">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c r="AA29" s="124"/>
      <c r="AB29" s="124"/>
    </row>
    <row r="30" ht="13.5" customHeight="1">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c r="AA30" s="124"/>
      <c r="AB30" s="124"/>
    </row>
    <row r="31" ht="13.5" customHeight="1">
      <c r="A31" s="124"/>
      <c r="B31" s="124"/>
      <c r="C31" s="124"/>
      <c r="D31" s="124"/>
      <c r="E31" s="124"/>
      <c r="F31" s="124"/>
      <c r="G31" s="124"/>
      <c r="H31" s="124"/>
      <c r="I31" s="124"/>
      <c r="J31" s="124"/>
      <c r="K31" s="124"/>
      <c r="L31" s="124"/>
      <c r="M31" s="124"/>
      <c r="N31" s="124"/>
      <c r="O31" s="124"/>
      <c r="P31" s="124"/>
      <c r="Q31" s="124"/>
      <c r="R31" s="124"/>
      <c r="S31" s="124"/>
      <c r="T31" s="124"/>
      <c r="U31" s="124"/>
      <c r="V31" s="124"/>
      <c r="W31" s="124"/>
      <c r="X31" s="124"/>
      <c r="Y31" s="124"/>
      <c r="Z31" s="124"/>
      <c r="AA31" s="124"/>
      <c r="AB31" s="124"/>
    </row>
    <row r="32" ht="13.5" customHeight="1">
      <c r="A32" s="124"/>
      <c r="B32" s="124"/>
      <c r="C32" s="124"/>
      <c r="D32" s="124"/>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row>
    <row r="33" ht="13.5" customHeight="1">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row>
    <row r="34" ht="13.5" customHeight="1">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c r="AA34" s="124"/>
      <c r="AB34" s="124"/>
    </row>
    <row r="35" ht="13.5" customHeight="1">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row>
    <row r="36" ht="13.5" customHeight="1">
      <c r="A36" s="124"/>
      <c r="B36" s="124"/>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c r="AA36" s="124"/>
      <c r="AB36" s="124"/>
    </row>
    <row r="37" ht="13.5" customHeight="1">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c r="AA37" s="124"/>
      <c r="AB37" s="124"/>
    </row>
    <row r="38" ht="13.5" customHeight="1">
      <c r="A38" s="124"/>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row>
    <row r="39" ht="13.5" customHeight="1">
      <c r="A39" s="124"/>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row>
    <row r="40" ht="13.5" customHeight="1">
      <c r="A40" s="124"/>
      <c r="B40" s="124"/>
      <c r="C40" s="151">
        <v>45753.0</v>
      </c>
      <c r="D40" s="124">
        <v>20000.0</v>
      </c>
      <c r="E40" s="124" t="s">
        <v>799</v>
      </c>
      <c r="F40" s="124" t="s">
        <v>800</v>
      </c>
      <c r="G40" s="124"/>
      <c r="H40" s="124"/>
      <c r="I40" s="124"/>
      <c r="J40" s="124"/>
      <c r="K40" s="124"/>
      <c r="L40" s="124"/>
      <c r="M40" s="124"/>
      <c r="N40" s="124"/>
      <c r="O40" s="124"/>
      <c r="P40" s="124"/>
      <c r="Q40" s="124"/>
      <c r="R40" s="124"/>
      <c r="S40" s="124"/>
      <c r="T40" s="124"/>
      <c r="U40" s="124"/>
      <c r="V40" s="124"/>
      <c r="W40" s="124"/>
      <c r="X40" s="124"/>
      <c r="Y40" s="124"/>
      <c r="Z40" s="124"/>
      <c r="AA40" s="124"/>
      <c r="AB40" s="124"/>
    </row>
    <row r="41" ht="13.5" customHeight="1">
      <c r="A41" s="124"/>
      <c r="B41" s="124"/>
      <c r="C41" s="151">
        <v>45814.0</v>
      </c>
      <c r="D41" s="124">
        <v>20000.0</v>
      </c>
      <c r="E41" s="124" t="s">
        <v>801</v>
      </c>
      <c r="F41" s="124" t="s">
        <v>802</v>
      </c>
      <c r="G41" s="124"/>
      <c r="H41" s="124"/>
      <c r="I41" s="124"/>
      <c r="J41" s="124"/>
      <c r="K41" s="124"/>
      <c r="L41" s="124"/>
      <c r="M41" s="124"/>
      <c r="N41" s="124"/>
      <c r="O41" s="124"/>
      <c r="P41" s="124"/>
      <c r="Q41" s="124"/>
      <c r="R41" s="124"/>
      <c r="S41" s="124"/>
      <c r="T41" s="124"/>
      <c r="U41" s="124"/>
      <c r="V41" s="124"/>
      <c r="W41" s="124"/>
      <c r="X41" s="124"/>
      <c r="Y41" s="124"/>
      <c r="Z41" s="124"/>
      <c r="AA41" s="124"/>
      <c r="AB41" s="124"/>
    </row>
    <row r="42" ht="13.5" customHeight="1">
      <c r="A42" s="124"/>
      <c r="B42" s="124"/>
      <c r="C42" s="124" t="s">
        <v>803</v>
      </c>
      <c r="D42" s="124">
        <v>43000.0</v>
      </c>
      <c r="E42" s="124" t="s">
        <v>801</v>
      </c>
      <c r="F42" s="124" t="s">
        <v>804</v>
      </c>
      <c r="G42" s="124"/>
      <c r="H42" s="124"/>
      <c r="I42" s="124"/>
      <c r="J42" s="124"/>
      <c r="K42" s="124"/>
      <c r="L42" s="124"/>
      <c r="M42" s="124"/>
      <c r="N42" s="124"/>
      <c r="O42" s="124"/>
      <c r="P42" s="124"/>
      <c r="Q42" s="124"/>
      <c r="R42" s="124"/>
      <c r="S42" s="124"/>
      <c r="T42" s="124"/>
      <c r="U42" s="124"/>
      <c r="V42" s="124"/>
      <c r="W42" s="124"/>
      <c r="X42" s="124"/>
      <c r="Y42" s="124"/>
      <c r="Z42" s="124"/>
      <c r="AA42" s="124"/>
      <c r="AB42" s="124"/>
    </row>
    <row r="43" ht="13.5" customHeight="1">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row>
    <row r="44" ht="13.5" customHeight="1">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row>
    <row r="45" ht="13.5" customHeight="1">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row>
    <row r="46" ht="13.5" customHeight="1">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row>
    <row r="47" ht="13.5" customHeight="1">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row>
    <row r="48" ht="13.5" customHeight="1">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row>
    <row r="49" ht="13.5" customHeight="1">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row>
    <row r="50" ht="13.5" customHeight="1">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row>
    <row r="51" ht="13.5" customHeight="1">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row>
    <row r="52" ht="13.5" customHeight="1">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row>
    <row r="53" ht="13.5" customHeight="1">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row>
    <row r="54" ht="13.5" customHeight="1">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row>
    <row r="55" ht="13.5" customHeight="1">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row>
    <row r="56" ht="13.5" customHeight="1">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row>
    <row r="57" ht="13.5" customHeight="1">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row>
    <row r="58" ht="13.5" customHeight="1">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row>
    <row r="59" ht="13.5" customHeight="1">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row>
    <row r="60" ht="13.5" customHeight="1">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row>
    <row r="61" ht="13.5" customHeight="1">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row>
    <row r="62" ht="13.5" customHeight="1">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row>
    <row r="63" ht="13.5" customHeight="1">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row>
    <row r="64" ht="13.5" customHeight="1">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row>
    <row r="65" ht="13.5" customHeight="1">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row>
    <row r="66" ht="13.5" customHeight="1">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row>
    <row r="67" ht="13.5" customHeight="1">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row>
    <row r="68" ht="13.5" customHeight="1">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row>
    <row r="69" ht="13.5" customHeight="1">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row>
    <row r="70" ht="13.5" customHeight="1">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row>
    <row r="71" ht="13.5" customHeight="1">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row>
    <row r="72" ht="13.5" customHeight="1">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row>
    <row r="73" ht="13.5" customHeight="1">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row>
    <row r="74" ht="13.5" customHeight="1">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row>
    <row r="75" ht="13.5" customHeight="1">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row>
    <row r="76" ht="13.5" customHeight="1">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row>
    <row r="77" ht="13.5" customHeight="1">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row>
    <row r="78" ht="13.5" customHeight="1">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row>
    <row r="79" ht="13.5" customHeight="1">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row>
    <row r="80" ht="13.5" customHeight="1">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row>
    <row r="81" ht="13.5" customHeight="1">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row>
    <row r="82" ht="13.5" customHeight="1">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row>
    <row r="83" ht="13.5" customHeight="1">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row>
    <row r="84" ht="13.5" customHeight="1">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row>
    <row r="85" ht="13.5" customHeight="1">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row>
    <row r="86" ht="13.5" customHeight="1">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row>
    <row r="87" ht="13.5" customHeight="1">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row>
    <row r="88" ht="13.5" customHeight="1">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row>
    <row r="89" ht="13.5" customHeight="1">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row>
    <row r="90" ht="13.5" customHeight="1">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row>
    <row r="91" ht="13.5" customHeight="1">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row>
    <row r="92" ht="13.5" customHeight="1">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row>
    <row r="93" ht="13.5" customHeight="1">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row>
    <row r="94" ht="13.5" customHeight="1">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row>
    <row r="95" ht="13.5" customHeight="1">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row>
    <row r="96" ht="13.5" customHeight="1">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row>
    <row r="97" ht="13.5" customHeight="1">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row>
    <row r="98" ht="13.5" customHeight="1">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row>
    <row r="99" ht="13.5" customHeight="1">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c r="AA99" s="124"/>
      <c r="AB99" s="124"/>
    </row>
    <row r="100" ht="13.5" customHeight="1">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row>
    <row r="101" ht="13.5" customHeight="1">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c r="AA101" s="124"/>
      <c r="AB101" s="124"/>
    </row>
    <row r="102" ht="13.5" customHeight="1">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c r="AA102" s="124"/>
      <c r="AB102" s="124"/>
    </row>
    <row r="103" ht="13.5" customHeight="1">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c r="AA103" s="124"/>
      <c r="AB103" s="124"/>
    </row>
    <row r="104" ht="13.5" customHeight="1">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row>
    <row r="105" ht="13.5" customHeight="1">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c r="AB105" s="124"/>
    </row>
    <row r="106" ht="13.5" customHeight="1">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c r="AA106" s="124"/>
      <c r="AB106" s="124"/>
    </row>
    <row r="107" ht="13.5" customHeight="1">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4"/>
    </row>
    <row r="108" ht="13.5" customHeight="1">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c r="AA108" s="124"/>
      <c r="AB108" s="124"/>
    </row>
    <row r="109" ht="13.5" customHeight="1">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row>
    <row r="110" ht="13.5" customHeight="1">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row>
    <row r="111" ht="13.5" customHeight="1">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row>
    <row r="112" ht="13.5" customHeight="1">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row>
    <row r="113" ht="13.5" customHeight="1">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c r="AA113" s="124"/>
      <c r="AB113" s="124"/>
    </row>
    <row r="114" ht="13.5" customHeight="1">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c r="AA114" s="124"/>
      <c r="AB114" s="124"/>
    </row>
    <row r="115" ht="13.5" customHeight="1">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row>
    <row r="116" ht="13.5" customHeight="1">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c r="AA116" s="124"/>
      <c r="AB116" s="124"/>
    </row>
    <row r="117" ht="13.5" customHeight="1">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row>
    <row r="118" ht="13.5" customHeight="1">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c r="AB118" s="124"/>
    </row>
    <row r="119" ht="13.5" customHeight="1">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row>
    <row r="120" ht="13.5" customHeight="1">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row>
    <row r="121" ht="13.5" customHeight="1">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row>
    <row r="122" ht="13.5" customHeight="1">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row>
    <row r="123" ht="13.5" customHeight="1">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row>
    <row r="124" ht="13.5" customHeight="1">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row>
    <row r="125" ht="13.5" customHeight="1">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row>
    <row r="126" ht="13.5" customHeight="1">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row>
    <row r="127" ht="13.5" customHeight="1">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row>
    <row r="128" ht="13.5" customHeight="1">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row>
    <row r="129" ht="13.5" customHeight="1">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row>
    <row r="130" ht="13.5" customHeight="1">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row>
    <row r="131" ht="13.5" customHeight="1">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row>
    <row r="132" ht="13.5" customHeight="1">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row>
    <row r="133" ht="13.5" customHeight="1">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c r="AB133" s="124"/>
    </row>
    <row r="134" ht="13.5" customHeight="1">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row>
    <row r="135" ht="13.5" customHeight="1">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row>
    <row r="136" ht="13.5" customHeight="1">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c r="AB136" s="124"/>
    </row>
    <row r="137" ht="13.5" customHeight="1">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row>
    <row r="138" ht="13.5" customHeight="1">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row>
    <row r="139" ht="13.5" customHeight="1">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row>
    <row r="140" ht="13.5" customHeight="1">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row>
    <row r="141" ht="13.5" customHeight="1">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row>
    <row r="142" ht="13.5" customHeight="1">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row>
    <row r="143" ht="13.5" customHeight="1">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row>
    <row r="144" ht="13.5" customHeight="1">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row>
    <row r="145" ht="13.5" customHeight="1">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row>
    <row r="146" ht="13.5" customHeight="1">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row>
    <row r="147" ht="13.5" customHeight="1">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row>
    <row r="148" ht="13.5" customHeight="1">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row>
    <row r="149" ht="13.5" customHeight="1">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row>
    <row r="150" ht="13.5" customHeight="1">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row>
    <row r="151" ht="13.5" customHeight="1">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row>
    <row r="152" ht="13.5" customHeight="1">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c r="AB152" s="124"/>
    </row>
    <row r="153" ht="13.5" customHeight="1">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c r="AB153" s="124"/>
    </row>
    <row r="154" ht="13.5" customHeight="1">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row>
    <row r="155" ht="13.5" customHeight="1">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c r="AB155" s="124"/>
    </row>
    <row r="156" ht="13.5" customHeight="1">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row>
    <row r="157" ht="13.5" customHeight="1">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row>
    <row r="158" ht="13.5" customHeight="1">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row>
    <row r="159" ht="13.5" customHeight="1">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row>
    <row r="160" ht="13.5" customHeight="1">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row>
    <row r="161" ht="13.5" customHeight="1">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row>
    <row r="162" ht="13.5" customHeight="1">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row>
    <row r="163" ht="13.5" customHeight="1">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124"/>
    </row>
    <row r="164" ht="13.5" customHeight="1">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row>
    <row r="165" ht="13.5" customHeight="1">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row>
    <row r="166" ht="13.5" customHeight="1">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row>
    <row r="167" ht="13.5" customHeight="1">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c r="AB167" s="124"/>
    </row>
    <row r="168" ht="13.5" customHeight="1">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row>
    <row r="169" ht="13.5" customHeight="1">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c r="AB169" s="124"/>
    </row>
    <row r="170" ht="13.5" customHeight="1">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row>
    <row r="171" ht="13.5" customHeight="1">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124"/>
    </row>
    <row r="172" ht="13.5" customHeight="1">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row>
    <row r="173" ht="13.5" customHeight="1">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row>
    <row r="174" ht="13.5" customHeight="1">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row>
    <row r="175" ht="13.5" customHeight="1">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124"/>
    </row>
    <row r="176" ht="13.5" customHeight="1">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row>
    <row r="177" ht="13.5" customHeight="1">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row>
    <row r="178" ht="13.5" customHeight="1">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row>
    <row r="179" ht="13.5" customHeight="1">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124"/>
    </row>
    <row r="180" ht="13.5" customHeight="1">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row>
    <row r="181" ht="13.5" customHeight="1">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row>
    <row r="182" ht="13.5" customHeight="1">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124"/>
    </row>
    <row r="183" ht="13.5" customHeight="1">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c r="AB183" s="124"/>
    </row>
    <row r="184" ht="13.5" customHeight="1">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row>
    <row r="185" ht="13.5" customHeight="1">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124"/>
    </row>
    <row r="186" ht="13.5" customHeight="1">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row>
    <row r="187" ht="13.5" customHeight="1">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row>
    <row r="188" ht="13.5" customHeight="1">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row>
    <row r="189" ht="13.5" customHeight="1">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row>
    <row r="190" ht="13.5" customHeight="1">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row>
    <row r="191" ht="13.5" customHeight="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row>
    <row r="192" ht="13.5" customHeight="1">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row>
    <row r="193" ht="13.5" customHeight="1">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row>
    <row r="194" ht="13.5" customHeight="1">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row>
    <row r="195" ht="13.5" customHeight="1">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row>
    <row r="196" ht="13.5" customHeight="1">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row>
    <row r="197" ht="13.5" customHeight="1">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row>
    <row r="198" ht="13.5" customHeight="1">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row>
    <row r="199" ht="13.5" customHeight="1">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row>
    <row r="200" ht="13.5" customHeight="1">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row>
    <row r="201" ht="13.5" customHeight="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row>
    <row r="202" ht="13.5" customHeight="1">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row>
    <row r="203" ht="13.5" customHeight="1">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row>
    <row r="204" ht="13.5" customHeight="1">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row>
    <row r="205" ht="13.5" customHeight="1">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row>
    <row r="206" ht="13.5" customHeight="1">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row>
    <row r="207" ht="13.5" customHeight="1">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row>
    <row r="208" ht="13.5" customHeight="1">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row>
    <row r="209" ht="13.5" customHeight="1">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row>
    <row r="210" ht="13.5" customHeight="1">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row>
    <row r="211" ht="13.5" customHeight="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row>
    <row r="212" ht="13.5" customHeight="1">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row>
    <row r="213" ht="13.5" customHeight="1">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row>
    <row r="214" ht="13.5" customHeight="1">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row>
    <row r="215" ht="13.5" customHeight="1">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row>
    <row r="216" ht="13.5" customHeight="1">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row>
    <row r="217" ht="13.5" customHeight="1">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row>
    <row r="218" ht="13.5" customHeight="1">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row>
    <row r="219" ht="13.5" customHeight="1">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row>
    <row r="220" ht="13.5" customHeight="1">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row>
    <row r="221" ht="13.5" customHeight="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row>
    <row r="222" ht="13.5" customHeight="1">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row>
    <row r="223" ht="13.5" customHeight="1">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row>
    <row r="224" ht="13.5" customHeight="1">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row>
    <row r="225" ht="13.5" customHeight="1">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row>
    <row r="226" ht="13.5" customHeight="1">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row>
    <row r="227" ht="13.5" customHeight="1">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row>
    <row r="228" ht="13.5" customHeight="1">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row>
    <row r="229" ht="13.5" customHeight="1">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row>
    <row r="230" ht="13.5" customHeight="1">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row>
    <row r="231" ht="13.5" customHeight="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row>
    <row r="232" ht="13.5" customHeight="1">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row>
    <row r="233" ht="13.5" customHeight="1">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row>
    <row r="234" ht="13.5" customHeight="1">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row>
    <row r="235" ht="13.5" customHeight="1">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row>
    <row r="236" ht="13.5" customHeight="1">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row>
    <row r="237" ht="13.5" customHeight="1">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row>
    <row r="238" ht="13.5" customHeight="1">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row>
    <row r="239" ht="13.5" customHeight="1">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row>
    <row r="240" ht="13.5" customHeight="1">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row>
    <row r="241" ht="13.5" customHeight="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row>
    <row r="242" ht="13.5" customHeight="1">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row>
    <row r="243" ht="13.5" customHeight="1">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row>
    <row r="244" ht="13.5" customHeight="1">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row>
    <row r="245" ht="13.5" customHeight="1">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row>
    <row r="246" ht="13.5" customHeight="1">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row>
    <row r="247" ht="13.5" customHeight="1">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row>
    <row r="248" ht="13.5" customHeight="1">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row>
    <row r="249" ht="13.5" customHeight="1">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row>
    <row r="250" ht="13.5" customHeight="1">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row>
    <row r="251" ht="13.5" customHeight="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row>
    <row r="252" ht="13.5" customHeight="1">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row>
    <row r="253" ht="13.5" customHeight="1">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row>
    <row r="254" ht="13.5" customHeight="1">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row>
    <row r="255" ht="13.5" customHeight="1">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row>
    <row r="256" ht="13.5" customHeight="1">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row>
    <row r="257" ht="13.5" customHeight="1">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row>
    <row r="258" ht="13.5" customHeight="1">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row>
    <row r="259" ht="13.5" customHeight="1">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row>
    <row r="260" ht="13.5" customHeight="1">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row>
    <row r="261" ht="13.5" customHeight="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row>
    <row r="262" ht="13.5" customHeight="1">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row>
    <row r="263" ht="13.5" customHeight="1">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row>
    <row r="264" ht="13.5" customHeight="1">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row>
    <row r="265" ht="13.5" customHeight="1">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row>
    <row r="266" ht="13.5" customHeight="1">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row>
    <row r="267" ht="13.5" customHeight="1">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row>
    <row r="268" ht="13.5" customHeight="1">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row>
    <row r="269" ht="13.5" customHeight="1">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row>
    <row r="270" ht="13.5" customHeight="1">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row>
    <row r="271" ht="13.5" customHeight="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row>
    <row r="272" ht="13.5" customHeight="1">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row>
    <row r="273" ht="13.5" customHeight="1">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row>
    <row r="274" ht="13.5" customHeight="1">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row>
    <row r="275" ht="13.5" customHeight="1">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row>
    <row r="276" ht="13.5" customHeight="1">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row>
    <row r="277" ht="13.5" customHeight="1">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row>
    <row r="278" ht="13.5" customHeight="1">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row>
    <row r="279" ht="13.5" customHeight="1">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row>
    <row r="280" ht="13.5" customHeight="1">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row>
    <row r="281" ht="13.5" customHeight="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row>
    <row r="282" ht="13.5" customHeight="1">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row>
    <row r="283" ht="13.5" customHeight="1">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row>
    <row r="284" ht="13.5" customHeight="1">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row>
    <row r="285" ht="13.5" customHeight="1">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row>
    <row r="286" ht="13.5" customHeight="1">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row>
    <row r="287" ht="13.5" customHeight="1">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row>
    <row r="288" ht="13.5" customHeight="1">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row>
    <row r="289" ht="13.5" customHeight="1">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row>
    <row r="290" ht="13.5" customHeight="1">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row>
    <row r="291" ht="13.5" customHeight="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row>
    <row r="292" ht="13.5" customHeight="1">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row>
    <row r="293" ht="13.5" customHeight="1">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row>
    <row r="294" ht="13.5" customHeight="1">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row>
    <row r="295" ht="13.5" customHeight="1">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row>
    <row r="296" ht="13.5" customHeight="1">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row>
    <row r="297" ht="13.5" customHeight="1">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row>
    <row r="298" ht="13.5" customHeight="1">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row>
    <row r="299" ht="13.5" customHeight="1">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row>
    <row r="300" ht="13.5" customHeight="1">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row>
    <row r="301" ht="13.5" customHeight="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row>
    <row r="302" ht="13.5" customHeight="1">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row>
    <row r="303" ht="13.5" customHeight="1">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row>
    <row r="304" ht="13.5" customHeight="1">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row>
    <row r="305" ht="13.5" customHeight="1">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row>
    <row r="306" ht="13.5" customHeight="1">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row>
    <row r="307" ht="13.5" customHeight="1">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row>
    <row r="308" ht="13.5" customHeight="1">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row>
    <row r="309" ht="13.5" customHeight="1">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row>
    <row r="310" ht="13.5" customHeight="1">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row>
    <row r="311" ht="13.5" customHeight="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row>
    <row r="312" ht="13.5" customHeight="1">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row>
    <row r="313" ht="13.5" customHeight="1">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row>
    <row r="314" ht="13.5" customHeight="1">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row>
    <row r="315" ht="13.5" customHeight="1">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row>
    <row r="316" ht="13.5" customHeight="1">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row>
    <row r="317" ht="13.5" customHeight="1">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row>
    <row r="318" ht="13.5" customHeight="1">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row>
    <row r="319" ht="13.5" customHeight="1">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row>
    <row r="320" ht="13.5" customHeight="1">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row>
    <row r="321" ht="13.5" customHeight="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row>
    <row r="322" ht="13.5" customHeight="1">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row>
    <row r="323" ht="13.5" customHeight="1">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row>
    <row r="324" ht="13.5" customHeight="1">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row>
    <row r="325" ht="13.5" customHeight="1">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row>
    <row r="326" ht="13.5" customHeight="1">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row>
    <row r="327" ht="13.5" customHeight="1">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row>
    <row r="328" ht="13.5" customHeight="1">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row>
    <row r="329" ht="13.5" customHeight="1">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row>
    <row r="330" ht="13.5" customHeight="1">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row>
    <row r="331" ht="13.5" customHeight="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row>
    <row r="332" ht="13.5" customHeight="1">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row>
    <row r="333" ht="13.5" customHeight="1">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row>
    <row r="334" ht="13.5" customHeight="1">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row>
    <row r="335" ht="13.5" customHeight="1">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row>
    <row r="336" ht="13.5" customHeight="1">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row>
    <row r="337" ht="13.5" customHeight="1">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row>
    <row r="338" ht="13.5" customHeight="1">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row>
    <row r="339" ht="13.5" customHeight="1">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row>
    <row r="340" ht="13.5" customHeight="1">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row>
    <row r="341" ht="13.5" customHeight="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row>
    <row r="342" ht="13.5" customHeight="1">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row>
    <row r="343" ht="13.5" customHeight="1">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row>
    <row r="344" ht="13.5" customHeight="1">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row>
    <row r="345" ht="13.5" customHeight="1">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row>
    <row r="346" ht="13.5" customHeight="1">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row>
    <row r="347" ht="13.5" customHeight="1">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row>
    <row r="348" ht="13.5" customHeight="1">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row>
    <row r="349" ht="13.5" customHeight="1">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row>
    <row r="350" ht="13.5" customHeight="1">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row>
    <row r="351" ht="13.5" customHeight="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row>
    <row r="352" ht="13.5" customHeight="1">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row>
    <row r="353" ht="13.5" customHeight="1">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row>
    <row r="354" ht="13.5" customHeight="1">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row>
    <row r="355" ht="13.5" customHeight="1">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row>
    <row r="356" ht="13.5" customHeight="1">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row>
    <row r="357" ht="13.5" customHeight="1">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row>
    <row r="358" ht="13.5" customHeight="1">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row>
    <row r="359" ht="13.5" customHeight="1">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row>
    <row r="360" ht="13.5" customHeight="1">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row>
    <row r="361" ht="13.5" customHeight="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row>
    <row r="362" ht="13.5" customHeight="1">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row>
    <row r="363" ht="13.5" customHeight="1">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row>
    <row r="364" ht="13.5" customHeight="1">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row>
    <row r="365" ht="13.5" customHeight="1">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row>
    <row r="366" ht="13.5" customHeight="1">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row>
    <row r="367" ht="13.5" customHeight="1">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row>
    <row r="368" ht="13.5" customHeight="1">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row>
    <row r="369" ht="13.5" customHeight="1">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row>
    <row r="370" ht="13.5" customHeight="1">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row>
    <row r="371" ht="13.5" customHeight="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row>
    <row r="372" ht="13.5" customHeight="1">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row>
    <row r="373" ht="13.5" customHeight="1">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row>
    <row r="374" ht="13.5" customHeight="1">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row>
    <row r="375" ht="13.5" customHeight="1">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row>
    <row r="376" ht="13.5" customHeight="1">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row>
    <row r="377" ht="13.5" customHeight="1">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row>
    <row r="378" ht="13.5" customHeight="1">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row>
    <row r="379" ht="13.5" customHeight="1">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row>
    <row r="380" ht="13.5" customHeight="1">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row>
    <row r="381" ht="13.5" customHeight="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row>
    <row r="382" ht="13.5" customHeight="1">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row>
    <row r="383" ht="13.5" customHeight="1">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row>
    <row r="384" ht="13.5" customHeight="1">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row>
    <row r="385" ht="13.5" customHeight="1">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row>
    <row r="386" ht="13.5" customHeight="1">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row>
    <row r="387" ht="13.5" customHeight="1">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row>
    <row r="388" ht="13.5" customHeight="1">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row>
    <row r="389" ht="13.5" customHeight="1">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row>
    <row r="390" ht="13.5" customHeight="1">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row>
    <row r="391" ht="13.5" customHeight="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row>
    <row r="392" ht="13.5" customHeight="1">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row>
    <row r="393" ht="13.5" customHeight="1">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row>
    <row r="394" ht="13.5" customHeight="1">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row>
    <row r="395" ht="13.5" customHeight="1">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row>
    <row r="396" ht="13.5" customHeight="1">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row>
    <row r="397" ht="13.5" customHeight="1">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row>
    <row r="398" ht="13.5" customHeight="1">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row>
    <row r="399" ht="13.5" customHeight="1">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row>
    <row r="400" ht="13.5" customHeight="1">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row>
    <row r="401" ht="13.5" customHeight="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row>
    <row r="402" ht="13.5" customHeight="1">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row>
    <row r="403" ht="13.5" customHeight="1">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row>
    <row r="404" ht="13.5" customHeight="1">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row>
    <row r="405" ht="13.5" customHeight="1">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row>
    <row r="406" ht="13.5" customHeight="1">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row>
    <row r="407" ht="13.5" customHeight="1">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row>
    <row r="408" ht="13.5" customHeight="1">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row>
    <row r="409" ht="13.5" customHeight="1">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row>
    <row r="410" ht="13.5" customHeight="1">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row>
    <row r="411" ht="13.5" customHeight="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row>
    <row r="412" ht="13.5" customHeight="1">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row>
    <row r="413" ht="13.5" customHeight="1">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row>
    <row r="414" ht="13.5" customHeight="1">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row>
    <row r="415" ht="13.5" customHeight="1">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row>
    <row r="416" ht="13.5" customHeight="1">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row>
    <row r="417" ht="13.5" customHeight="1">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row>
    <row r="418" ht="13.5" customHeight="1">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row>
    <row r="419" ht="13.5" customHeight="1">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row>
    <row r="420" ht="13.5" customHeight="1">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row>
    <row r="421" ht="13.5" customHeight="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row>
    <row r="422" ht="13.5" customHeight="1">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row>
    <row r="423" ht="13.5" customHeight="1">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row>
    <row r="424" ht="13.5" customHeight="1">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row>
    <row r="425" ht="13.5" customHeight="1">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row>
    <row r="426" ht="13.5" customHeight="1">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row>
    <row r="427" ht="13.5" customHeight="1">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row>
    <row r="428" ht="13.5" customHeight="1">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row>
    <row r="429" ht="13.5" customHeight="1">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row>
    <row r="430" ht="13.5" customHeight="1">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row>
    <row r="431" ht="13.5" customHeight="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row>
    <row r="432" ht="13.5" customHeight="1">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row>
    <row r="433" ht="13.5" customHeight="1">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row>
    <row r="434" ht="13.5" customHeight="1">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row>
    <row r="435" ht="13.5" customHeight="1">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row>
    <row r="436" ht="13.5" customHeight="1">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row>
    <row r="437" ht="13.5" customHeight="1">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row>
    <row r="438" ht="13.5" customHeight="1">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row>
    <row r="439" ht="13.5" customHeight="1">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row>
    <row r="440" ht="13.5" customHeight="1">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row>
    <row r="441" ht="13.5" customHeight="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row>
    <row r="442" ht="13.5" customHeight="1">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row>
    <row r="443" ht="13.5" customHeight="1">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row>
    <row r="444" ht="13.5" customHeight="1">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row>
    <row r="445" ht="13.5" customHeight="1">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row>
    <row r="446" ht="13.5" customHeight="1">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row>
    <row r="447" ht="13.5" customHeight="1">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row>
    <row r="448" ht="13.5" customHeight="1">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row>
    <row r="449" ht="13.5" customHeight="1">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row>
    <row r="450" ht="13.5" customHeight="1">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row>
    <row r="451" ht="13.5" customHeight="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row>
    <row r="452" ht="13.5" customHeight="1">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row>
    <row r="453" ht="13.5" customHeight="1">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row>
    <row r="454" ht="13.5" customHeight="1">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row>
    <row r="455" ht="13.5" customHeight="1">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row>
    <row r="456" ht="13.5" customHeight="1">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row>
    <row r="457" ht="13.5" customHeight="1">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row>
    <row r="458" ht="13.5" customHeight="1">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row>
    <row r="459" ht="13.5" customHeight="1">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row>
    <row r="460" ht="13.5" customHeight="1">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row>
    <row r="461" ht="13.5" customHeight="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row>
    <row r="462" ht="13.5" customHeight="1">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row>
    <row r="463" ht="13.5" customHeight="1">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row>
    <row r="464" ht="13.5" customHeight="1">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row>
    <row r="465" ht="13.5" customHeight="1">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row>
    <row r="466" ht="13.5" customHeight="1">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row>
    <row r="467" ht="13.5" customHeight="1">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row>
    <row r="468" ht="13.5" customHeight="1">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row>
    <row r="469" ht="13.5" customHeight="1">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row>
    <row r="470" ht="13.5" customHeight="1">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row>
    <row r="471" ht="13.5" customHeight="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row>
    <row r="472" ht="13.5" customHeight="1">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row>
    <row r="473" ht="13.5" customHeight="1">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row>
    <row r="474" ht="13.5" customHeight="1">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row>
    <row r="475" ht="13.5" customHeight="1">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row>
    <row r="476" ht="13.5" customHeight="1">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row>
    <row r="477" ht="13.5" customHeight="1">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row>
    <row r="478" ht="13.5" customHeight="1">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row>
    <row r="479" ht="13.5" customHeight="1">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row>
    <row r="480" ht="13.5" customHeight="1">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row>
    <row r="481" ht="13.5" customHeight="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row>
    <row r="482" ht="13.5" customHeight="1">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row>
    <row r="483" ht="13.5" customHeight="1">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row>
    <row r="484" ht="13.5" customHeight="1">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row>
    <row r="485" ht="13.5" customHeight="1">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row>
    <row r="486" ht="13.5" customHeight="1">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row>
    <row r="487" ht="13.5" customHeight="1">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row>
    <row r="488" ht="13.5" customHeight="1">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row>
    <row r="489" ht="13.5" customHeight="1">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row>
    <row r="490" ht="13.5" customHeight="1">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row>
    <row r="491" ht="13.5" customHeight="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row>
    <row r="492" ht="13.5" customHeight="1">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row>
    <row r="493" ht="13.5" customHeight="1">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row>
    <row r="494" ht="13.5" customHeight="1">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row>
    <row r="495" ht="13.5" customHeight="1">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row>
    <row r="496" ht="13.5" customHeight="1">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row>
    <row r="497" ht="13.5" customHeight="1">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row>
    <row r="498" ht="13.5" customHeight="1">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row>
    <row r="499" ht="13.5" customHeight="1">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row>
    <row r="500" ht="13.5" customHeight="1">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row>
    <row r="501" ht="13.5" customHeight="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row>
    <row r="502" ht="13.5" customHeight="1">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row>
    <row r="503" ht="13.5" customHeight="1">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row>
    <row r="504" ht="13.5" customHeight="1">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row>
    <row r="505" ht="13.5" customHeight="1">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row>
    <row r="506" ht="13.5" customHeight="1">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row>
    <row r="507" ht="13.5" customHeight="1">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row>
    <row r="508" ht="13.5" customHeight="1">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row>
    <row r="509" ht="13.5" customHeight="1">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row>
    <row r="510" ht="13.5" customHeight="1">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row>
    <row r="511" ht="13.5" customHeight="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row>
    <row r="512" ht="13.5" customHeight="1">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row>
    <row r="513" ht="13.5" customHeight="1">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row>
    <row r="514" ht="13.5" customHeight="1">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row>
    <row r="515" ht="13.5" customHeight="1">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row>
    <row r="516" ht="13.5" customHeight="1">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row>
    <row r="517" ht="13.5" customHeight="1">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row>
    <row r="518" ht="13.5" customHeight="1">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row>
    <row r="519" ht="13.5" customHeight="1">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row>
    <row r="520" ht="13.5" customHeight="1">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row>
    <row r="521" ht="13.5" customHeight="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row>
    <row r="522" ht="13.5" customHeight="1">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row>
    <row r="523" ht="13.5" customHeight="1">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row>
    <row r="524" ht="13.5" customHeight="1">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row>
    <row r="525" ht="13.5" customHeight="1">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row>
    <row r="526" ht="13.5" customHeight="1">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row>
    <row r="527" ht="13.5" customHeight="1">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row>
    <row r="528" ht="13.5" customHeight="1">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row>
    <row r="529" ht="13.5" customHeight="1">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row>
    <row r="530" ht="13.5" customHeight="1">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row>
    <row r="531" ht="13.5" customHeight="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row>
    <row r="532" ht="13.5" customHeight="1">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row>
    <row r="533" ht="13.5" customHeight="1">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row>
    <row r="534" ht="13.5" customHeight="1">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row>
    <row r="535" ht="13.5" customHeight="1">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row>
    <row r="536" ht="13.5" customHeight="1">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row>
    <row r="537" ht="13.5" customHeight="1">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row>
    <row r="538" ht="13.5" customHeight="1">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row>
    <row r="539" ht="13.5" customHeight="1">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row>
    <row r="540" ht="13.5" customHeight="1">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row>
    <row r="541" ht="13.5" customHeight="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row>
    <row r="542" ht="13.5" customHeight="1">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row>
    <row r="543" ht="13.5" customHeight="1">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row>
    <row r="544" ht="13.5" customHeight="1">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row>
    <row r="545" ht="13.5" customHeight="1">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row>
    <row r="546" ht="13.5" customHeight="1">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row>
    <row r="547" ht="13.5" customHeight="1">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row>
    <row r="548" ht="13.5" customHeight="1">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row>
    <row r="549" ht="13.5" customHeight="1">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row>
    <row r="550" ht="13.5" customHeight="1">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row>
    <row r="551" ht="13.5" customHeight="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row>
    <row r="552" ht="13.5" customHeight="1">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row>
    <row r="553" ht="13.5" customHeight="1">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row>
    <row r="554" ht="13.5" customHeight="1">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row>
    <row r="555" ht="13.5" customHeight="1">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row>
    <row r="556" ht="13.5" customHeight="1">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row>
    <row r="557" ht="13.5" customHeight="1">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row>
    <row r="558" ht="13.5" customHeight="1">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row>
    <row r="559" ht="13.5" customHeight="1">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row>
    <row r="560" ht="13.5" customHeight="1">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row>
    <row r="561" ht="13.5" customHeight="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row>
    <row r="562" ht="13.5" customHeight="1">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row>
    <row r="563" ht="13.5" customHeight="1">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row>
    <row r="564" ht="13.5" customHeight="1">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row>
    <row r="565" ht="13.5" customHeight="1">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row>
    <row r="566" ht="13.5" customHeight="1">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row>
    <row r="567" ht="13.5" customHeight="1">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row>
    <row r="568" ht="13.5" customHeight="1">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row>
    <row r="569" ht="13.5" customHeight="1">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row>
    <row r="570" ht="13.5" customHeight="1">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row>
    <row r="571" ht="13.5" customHeight="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row>
    <row r="572" ht="13.5" customHeight="1">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row>
    <row r="573" ht="13.5" customHeight="1">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row>
    <row r="574" ht="13.5" customHeight="1">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row>
    <row r="575" ht="13.5" customHeight="1">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row>
    <row r="576" ht="13.5" customHeight="1">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row>
    <row r="577" ht="13.5" customHeight="1">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row>
    <row r="578" ht="13.5" customHeight="1">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row>
    <row r="579" ht="13.5" customHeight="1">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row>
    <row r="580" ht="13.5" customHeight="1">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row>
    <row r="581" ht="13.5" customHeight="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row>
    <row r="582" ht="13.5" customHeight="1">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row>
    <row r="583" ht="13.5" customHeight="1">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row>
    <row r="584" ht="13.5" customHeight="1">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row>
    <row r="585" ht="13.5" customHeight="1">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row>
    <row r="586" ht="13.5" customHeight="1">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row>
    <row r="587" ht="13.5" customHeight="1">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row>
    <row r="588" ht="13.5" customHeight="1">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row>
    <row r="589" ht="13.5" customHeight="1">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row>
    <row r="590" ht="13.5" customHeight="1">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row>
    <row r="591" ht="13.5" customHeight="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row>
    <row r="592" ht="13.5" customHeight="1">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row>
    <row r="593" ht="13.5" customHeight="1">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row>
    <row r="594" ht="13.5" customHeight="1">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row>
    <row r="595" ht="13.5" customHeight="1">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row>
    <row r="596" ht="13.5" customHeight="1">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row>
    <row r="597" ht="13.5" customHeight="1">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row>
    <row r="598" ht="13.5" customHeight="1">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row>
    <row r="599" ht="13.5" customHeight="1">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row>
    <row r="600" ht="13.5" customHeight="1">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row>
    <row r="601" ht="13.5" customHeight="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row>
    <row r="602" ht="13.5" customHeight="1">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row>
    <row r="603" ht="13.5" customHeight="1">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row>
    <row r="604" ht="13.5" customHeight="1">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row>
    <row r="605" ht="13.5" customHeight="1">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row>
    <row r="606" ht="13.5" customHeight="1">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row>
    <row r="607" ht="13.5" customHeight="1">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row>
    <row r="608" ht="13.5" customHeight="1">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row>
    <row r="609" ht="13.5" customHeight="1">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row>
    <row r="610" ht="13.5" customHeight="1">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row>
    <row r="611" ht="13.5" customHeight="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row>
    <row r="612" ht="13.5" customHeight="1">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row>
    <row r="613" ht="13.5" customHeight="1">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row>
    <row r="614" ht="13.5" customHeight="1">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row>
    <row r="615" ht="13.5" customHeight="1">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row>
    <row r="616" ht="13.5" customHeight="1">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row>
    <row r="617" ht="13.5" customHeight="1">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row>
    <row r="618" ht="13.5" customHeight="1">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row>
    <row r="619" ht="13.5" customHeight="1">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row>
    <row r="620" ht="13.5" customHeight="1">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row>
    <row r="621" ht="13.5" customHeight="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row>
    <row r="622" ht="13.5" customHeight="1">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row>
    <row r="623" ht="13.5" customHeight="1">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row>
    <row r="624" ht="13.5" customHeight="1">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row>
    <row r="625" ht="13.5" customHeight="1">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row>
    <row r="626" ht="13.5" customHeight="1">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row>
    <row r="627" ht="13.5" customHeight="1">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row>
    <row r="628" ht="13.5" customHeight="1">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row>
    <row r="629" ht="13.5" customHeight="1">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row>
    <row r="630" ht="13.5" customHeight="1">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row>
    <row r="631" ht="13.5" customHeight="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row>
    <row r="632" ht="13.5" customHeight="1">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row>
    <row r="633" ht="13.5" customHeight="1">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row>
    <row r="634" ht="13.5" customHeight="1">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row>
    <row r="635" ht="13.5" customHeight="1">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row>
    <row r="636" ht="13.5" customHeight="1">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row>
    <row r="637" ht="13.5" customHeight="1">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row>
    <row r="638" ht="13.5" customHeight="1">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row>
    <row r="639" ht="13.5" customHeight="1">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row>
    <row r="640" ht="13.5" customHeight="1">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row>
    <row r="641" ht="13.5" customHeight="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row>
    <row r="642" ht="13.5" customHeight="1">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row>
    <row r="643" ht="13.5" customHeight="1">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row>
    <row r="644" ht="13.5" customHeight="1">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row>
    <row r="645" ht="13.5" customHeight="1">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row>
    <row r="646" ht="13.5" customHeight="1">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row>
    <row r="647" ht="13.5" customHeight="1">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row>
    <row r="648" ht="13.5" customHeight="1">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row>
    <row r="649" ht="13.5" customHeight="1">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row>
    <row r="650" ht="13.5" customHeight="1">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row>
    <row r="651" ht="13.5" customHeight="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row>
    <row r="652" ht="13.5" customHeight="1">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row>
    <row r="653" ht="13.5" customHeight="1">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row>
    <row r="654" ht="13.5" customHeight="1">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row>
    <row r="655" ht="13.5" customHeight="1">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row>
    <row r="656" ht="13.5" customHeight="1">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row>
    <row r="657" ht="13.5" customHeight="1">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row>
    <row r="658" ht="13.5" customHeight="1">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row>
    <row r="659" ht="13.5" customHeight="1">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row>
    <row r="660" ht="13.5" customHeight="1">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row>
    <row r="661" ht="13.5" customHeight="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row>
    <row r="662" ht="13.5" customHeight="1">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row>
    <row r="663" ht="13.5" customHeight="1">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row>
    <row r="664" ht="13.5" customHeight="1">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row>
    <row r="665" ht="13.5" customHeight="1">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row>
    <row r="666" ht="13.5" customHeight="1">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row>
    <row r="667" ht="13.5" customHeight="1">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row>
    <row r="668" ht="13.5" customHeight="1">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row>
    <row r="669" ht="13.5" customHeight="1">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row>
    <row r="670" ht="13.5" customHeight="1">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row>
    <row r="671" ht="13.5" customHeight="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row>
    <row r="672" ht="13.5" customHeight="1">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row>
    <row r="673" ht="13.5" customHeight="1">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row>
    <row r="674" ht="13.5" customHeight="1">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row>
    <row r="675" ht="13.5" customHeight="1">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row>
    <row r="676" ht="13.5" customHeight="1">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row>
    <row r="677" ht="13.5" customHeight="1">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row>
    <row r="678" ht="13.5" customHeight="1">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row>
    <row r="679" ht="13.5" customHeight="1">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row>
    <row r="680" ht="13.5" customHeight="1">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row>
    <row r="681" ht="13.5" customHeight="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row>
    <row r="682" ht="13.5" customHeight="1">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row>
    <row r="683" ht="13.5" customHeight="1">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row>
    <row r="684" ht="13.5" customHeight="1">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row>
    <row r="685" ht="13.5" customHeight="1">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row>
    <row r="686" ht="13.5" customHeight="1">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row>
    <row r="687" ht="13.5" customHeight="1">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row>
    <row r="688" ht="13.5" customHeight="1">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row>
    <row r="689" ht="13.5" customHeight="1">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row>
    <row r="690" ht="13.5" customHeight="1">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row>
    <row r="691" ht="13.5" customHeight="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row>
    <row r="692" ht="13.5" customHeight="1">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row>
    <row r="693" ht="13.5" customHeight="1">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row>
    <row r="694" ht="13.5" customHeight="1">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row>
    <row r="695" ht="13.5" customHeight="1">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row>
    <row r="696" ht="13.5" customHeight="1">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row>
    <row r="697" ht="13.5" customHeight="1">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row>
    <row r="698" ht="13.5" customHeight="1">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row>
    <row r="699" ht="13.5" customHeight="1">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row>
    <row r="700" ht="13.5" customHeight="1">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row>
    <row r="701" ht="13.5" customHeight="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row>
    <row r="702" ht="13.5" customHeight="1">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row>
    <row r="703" ht="13.5" customHeight="1">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row>
    <row r="704" ht="13.5" customHeight="1">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row>
    <row r="705" ht="13.5" customHeight="1">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row>
    <row r="706" ht="13.5" customHeight="1">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row>
    <row r="707" ht="13.5" customHeight="1">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row>
    <row r="708" ht="13.5" customHeight="1">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row>
    <row r="709" ht="13.5" customHeight="1">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row>
    <row r="710" ht="13.5" customHeight="1">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row>
    <row r="711" ht="13.5" customHeight="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row>
    <row r="712" ht="13.5" customHeight="1">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row>
    <row r="713" ht="13.5" customHeight="1">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row>
    <row r="714" ht="13.5" customHeight="1">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row>
    <row r="715" ht="13.5" customHeight="1">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row>
    <row r="716" ht="13.5" customHeight="1">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row>
    <row r="717" ht="13.5" customHeight="1">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row>
    <row r="718" ht="13.5" customHeight="1">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row>
    <row r="719" ht="13.5" customHeight="1">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row>
    <row r="720" ht="13.5" customHeight="1">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row>
    <row r="721" ht="13.5" customHeight="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row>
    <row r="722" ht="13.5" customHeight="1">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row>
    <row r="723" ht="13.5" customHeight="1">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row>
    <row r="724" ht="13.5" customHeight="1">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row>
    <row r="725" ht="13.5" customHeight="1">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row>
    <row r="726" ht="13.5" customHeight="1">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row>
    <row r="727" ht="13.5" customHeight="1">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row>
    <row r="728" ht="13.5" customHeight="1">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row>
    <row r="729" ht="13.5" customHeight="1">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row>
    <row r="730" ht="13.5" customHeight="1">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row>
    <row r="731" ht="13.5" customHeight="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row>
    <row r="732" ht="13.5" customHeight="1">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row>
    <row r="733" ht="13.5" customHeight="1">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row>
    <row r="734" ht="13.5" customHeight="1">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row>
    <row r="735" ht="13.5" customHeight="1">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row>
    <row r="736" ht="13.5" customHeight="1">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row>
    <row r="737" ht="13.5" customHeight="1">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row>
    <row r="738" ht="13.5" customHeight="1">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row>
    <row r="739" ht="13.5" customHeight="1">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row>
    <row r="740" ht="13.5" customHeight="1">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row>
    <row r="741" ht="13.5" customHeight="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row>
    <row r="742" ht="13.5" customHeight="1">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row>
    <row r="743" ht="13.5" customHeight="1">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row>
    <row r="744" ht="13.5" customHeight="1">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row>
    <row r="745" ht="13.5" customHeight="1">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row>
    <row r="746" ht="13.5" customHeight="1">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row>
    <row r="747" ht="13.5" customHeight="1">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row>
    <row r="748" ht="13.5" customHeight="1">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row>
    <row r="749" ht="13.5" customHeight="1">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row>
    <row r="750" ht="13.5" customHeight="1">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row>
    <row r="751" ht="13.5" customHeight="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row>
    <row r="752" ht="13.5" customHeight="1">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row>
    <row r="753" ht="13.5" customHeight="1">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row>
    <row r="754" ht="13.5" customHeight="1">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row>
    <row r="755" ht="13.5" customHeight="1">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row>
    <row r="756" ht="13.5" customHeight="1">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row>
    <row r="757" ht="13.5" customHeight="1">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row>
    <row r="758" ht="13.5" customHeight="1">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row>
    <row r="759" ht="13.5" customHeight="1">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row>
    <row r="760" ht="13.5" customHeight="1">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row>
    <row r="761" ht="13.5" customHeight="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row>
    <row r="762" ht="13.5" customHeight="1">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row>
    <row r="763" ht="13.5" customHeight="1">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row>
    <row r="764" ht="13.5" customHeight="1">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row>
    <row r="765" ht="13.5" customHeight="1">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row>
    <row r="766" ht="13.5" customHeight="1">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row>
    <row r="767" ht="13.5" customHeight="1">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row>
    <row r="768" ht="13.5" customHeight="1">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row>
    <row r="769" ht="13.5" customHeight="1">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row>
    <row r="770" ht="13.5" customHeight="1">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row>
    <row r="771" ht="13.5" customHeight="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row>
    <row r="772" ht="13.5" customHeight="1">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row>
    <row r="773" ht="13.5" customHeight="1">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row>
    <row r="774" ht="13.5" customHeight="1">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row>
    <row r="775" ht="13.5" customHeight="1">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row>
    <row r="776" ht="13.5" customHeight="1">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row>
    <row r="777" ht="13.5" customHeight="1">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row>
    <row r="778" ht="13.5" customHeight="1">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row>
    <row r="779" ht="13.5" customHeight="1">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row>
    <row r="780" ht="13.5" customHeight="1">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row>
    <row r="781" ht="13.5" customHeight="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row>
    <row r="782" ht="13.5" customHeight="1">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row>
    <row r="783" ht="13.5" customHeight="1">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row>
    <row r="784" ht="13.5" customHeight="1">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row>
    <row r="785" ht="13.5" customHeight="1">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row>
    <row r="786" ht="13.5" customHeight="1">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row>
    <row r="787" ht="13.5" customHeight="1">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row>
    <row r="788" ht="13.5" customHeight="1">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row>
    <row r="789" ht="13.5" customHeight="1">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row>
    <row r="790" ht="13.5" customHeight="1">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row>
    <row r="791" ht="13.5" customHeight="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row>
    <row r="792" ht="13.5" customHeight="1">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row>
    <row r="793" ht="13.5" customHeight="1">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row>
    <row r="794" ht="13.5" customHeight="1">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row>
    <row r="795" ht="13.5" customHeight="1">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row>
    <row r="796" ht="13.5" customHeight="1">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row>
    <row r="797" ht="13.5" customHeight="1">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row>
    <row r="798" ht="13.5" customHeight="1">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row>
    <row r="799" ht="13.5" customHeight="1">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row>
    <row r="800" ht="13.5" customHeight="1">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row>
    <row r="801" ht="13.5" customHeight="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row>
    <row r="802" ht="13.5" customHeight="1">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row>
    <row r="803" ht="13.5" customHeight="1">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row>
    <row r="804" ht="13.5" customHeight="1">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row>
    <row r="805" ht="13.5" customHeight="1">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row>
    <row r="806" ht="13.5" customHeight="1">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row>
    <row r="807" ht="13.5" customHeight="1">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row>
    <row r="808" ht="13.5" customHeight="1">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row>
    <row r="809" ht="13.5" customHeight="1">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row>
    <row r="810" ht="13.5" customHeight="1">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row>
    <row r="811" ht="13.5" customHeight="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row>
    <row r="812" ht="13.5" customHeight="1">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row>
    <row r="813" ht="13.5" customHeight="1">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row>
    <row r="814" ht="13.5" customHeight="1">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row>
    <row r="815" ht="13.5" customHeight="1">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row>
    <row r="816" ht="13.5" customHeight="1">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row>
    <row r="817" ht="13.5" customHeight="1">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row>
    <row r="818" ht="13.5" customHeight="1">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row>
    <row r="819" ht="13.5" customHeight="1">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row>
    <row r="820" ht="13.5" customHeight="1">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row>
    <row r="821" ht="13.5" customHeight="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row>
    <row r="822" ht="13.5" customHeight="1">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row>
    <row r="823" ht="13.5" customHeight="1">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row>
    <row r="824" ht="13.5" customHeight="1">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row>
    <row r="825" ht="13.5" customHeight="1">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row>
    <row r="826" ht="13.5" customHeight="1">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row>
    <row r="827" ht="13.5" customHeight="1">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row>
    <row r="828" ht="13.5" customHeight="1">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row>
    <row r="829" ht="13.5" customHeight="1">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row>
    <row r="830" ht="13.5" customHeight="1">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row>
    <row r="831" ht="13.5" customHeight="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row>
    <row r="832" ht="13.5" customHeight="1">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row>
    <row r="833" ht="13.5" customHeight="1">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row>
    <row r="834" ht="13.5" customHeight="1">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row>
    <row r="835" ht="13.5" customHeight="1">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row>
    <row r="836" ht="13.5" customHeight="1">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row>
    <row r="837" ht="13.5" customHeight="1">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row>
    <row r="838" ht="13.5" customHeight="1">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row>
    <row r="839" ht="13.5" customHeight="1">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row>
    <row r="840" ht="13.5" customHeight="1">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row>
    <row r="841" ht="13.5" customHeight="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row>
    <row r="842" ht="13.5" customHeight="1">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row>
    <row r="843" ht="13.5" customHeight="1">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row>
    <row r="844" ht="13.5" customHeight="1">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row>
    <row r="845" ht="13.5" customHeight="1">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row>
    <row r="846" ht="13.5" customHeight="1">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row>
    <row r="847" ht="13.5" customHeight="1">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row>
    <row r="848" ht="13.5" customHeight="1">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row>
    <row r="849" ht="13.5" customHeight="1">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row>
    <row r="850" ht="13.5" customHeight="1">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row>
    <row r="851" ht="13.5" customHeight="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row>
    <row r="852" ht="13.5" customHeight="1">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row>
    <row r="853" ht="13.5" customHeight="1">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row>
    <row r="854" ht="13.5" customHeight="1">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row>
    <row r="855" ht="13.5" customHeight="1">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row>
    <row r="856" ht="13.5" customHeight="1">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row>
    <row r="857" ht="13.5" customHeight="1">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row>
    <row r="858" ht="13.5" customHeight="1">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row>
    <row r="859" ht="13.5" customHeight="1">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row>
    <row r="860" ht="13.5" customHeight="1">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row>
    <row r="861" ht="13.5" customHeight="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row>
    <row r="862" ht="13.5" customHeight="1">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row>
    <row r="863" ht="13.5" customHeight="1">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row>
    <row r="864" ht="13.5" customHeight="1">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row>
    <row r="865" ht="13.5" customHeight="1">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row>
    <row r="866" ht="13.5" customHeight="1">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row>
    <row r="867" ht="13.5" customHeight="1">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row>
    <row r="868" ht="13.5" customHeight="1">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row>
    <row r="869" ht="13.5" customHeight="1">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row>
    <row r="870" ht="13.5" customHeight="1">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row>
    <row r="871" ht="13.5" customHeight="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row>
    <row r="872" ht="13.5" customHeight="1">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row>
    <row r="873" ht="13.5" customHeight="1">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row>
    <row r="874" ht="13.5" customHeight="1">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row>
    <row r="875" ht="13.5" customHeight="1">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row>
    <row r="876" ht="13.5" customHeight="1">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row>
    <row r="877" ht="13.5" customHeight="1">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row>
    <row r="878" ht="13.5" customHeight="1">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row>
    <row r="879" ht="13.5" customHeight="1">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row>
    <row r="880" ht="13.5" customHeight="1">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row>
    <row r="881" ht="13.5" customHeight="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row>
    <row r="882" ht="13.5" customHeight="1">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row>
    <row r="883" ht="13.5" customHeight="1">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row>
    <row r="884" ht="13.5" customHeight="1">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row>
    <row r="885" ht="13.5" customHeight="1">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row>
    <row r="886" ht="13.5" customHeight="1">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row>
    <row r="887" ht="13.5" customHeight="1">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row>
    <row r="888" ht="13.5" customHeight="1">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row>
    <row r="889" ht="13.5" customHeight="1">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row>
    <row r="890" ht="13.5" customHeight="1">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row>
    <row r="891" ht="13.5" customHeight="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row>
    <row r="892" ht="13.5" customHeight="1">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row>
    <row r="893" ht="13.5" customHeight="1">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row>
    <row r="894" ht="13.5" customHeight="1">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row>
    <row r="895" ht="13.5" customHeight="1">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row>
    <row r="896" ht="13.5" customHeight="1">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row>
    <row r="897" ht="13.5" customHeight="1">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row>
    <row r="898" ht="13.5" customHeight="1">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row>
    <row r="899" ht="13.5" customHeight="1">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row>
    <row r="900" ht="13.5" customHeight="1">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row>
    <row r="901" ht="13.5" customHeight="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row>
    <row r="902" ht="13.5" customHeight="1">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row>
    <row r="903" ht="13.5" customHeight="1">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row>
    <row r="904" ht="13.5" customHeight="1">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row>
    <row r="905" ht="13.5" customHeight="1">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row>
    <row r="906" ht="13.5" customHeight="1">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row>
    <row r="907" ht="13.5" customHeight="1">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row>
    <row r="908" ht="13.5" customHeight="1">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row>
    <row r="909" ht="13.5" customHeight="1">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row>
    <row r="910" ht="13.5" customHeight="1">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row>
    <row r="911" ht="13.5" customHeight="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row>
    <row r="912" ht="13.5" customHeight="1">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row>
    <row r="913" ht="13.5" customHeight="1">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row>
    <row r="914" ht="13.5" customHeight="1">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row>
    <row r="915" ht="13.5" customHeight="1">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row>
    <row r="916" ht="13.5" customHeight="1">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row>
    <row r="917" ht="13.5" customHeight="1">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row>
    <row r="918" ht="13.5" customHeight="1">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row>
    <row r="919" ht="13.5" customHeight="1">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row>
    <row r="920" ht="13.5" customHeight="1">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row>
    <row r="921" ht="13.5" customHeight="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row>
    <row r="922" ht="13.5" customHeight="1">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row>
    <row r="923" ht="13.5" customHeight="1">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row>
    <row r="924" ht="13.5" customHeight="1">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row>
    <row r="925" ht="13.5" customHeight="1">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row>
    <row r="926" ht="13.5" customHeight="1">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row>
    <row r="927" ht="13.5" customHeight="1">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row>
    <row r="928" ht="13.5" customHeight="1">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row>
    <row r="929" ht="13.5" customHeight="1">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row>
    <row r="930" ht="13.5" customHeight="1">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row>
    <row r="931" ht="13.5" customHeight="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row>
    <row r="932" ht="13.5" customHeight="1">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row>
    <row r="933" ht="13.5" customHeight="1">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row>
    <row r="934" ht="13.5" customHeight="1">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row>
    <row r="935" ht="13.5" customHeight="1">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row>
    <row r="936" ht="13.5" customHeight="1">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row>
    <row r="937" ht="13.5" customHeight="1">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row>
    <row r="938" ht="13.5" customHeight="1">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row>
    <row r="939" ht="13.5" customHeight="1">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row>
    <row r="940" ht="13.5" customHeight="1">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row>
    <row r="941" ht="13.5" customHeight="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row>
    <row r="942" ht="13.5" customHeight="1">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row>
    <row r="943" ht="13.5" customHeight="1">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row>
    <row r="944" ht="13.5" customHeight="1">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row>
    <row r="945" ht="13.5" customHeight="1">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row>
    <row r="946" ht="13.5" customHeight="1">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row>
    <row r="947" ht="13.5" customHeight="1">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row>
    <row r="948" ht="13.5" customHeight="1">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row>
    <row r="949" ht="13.5" customHeight="1">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row>
    <row r="950" ht="13.5" customHeight="1">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row>
    <row r="951" ht="13.5" customHeight="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row>
    <row r="952" ht="13.5" customHeight="1">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row>
    <row r="953" ht="13.5" customHeight="1">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row>
    <row r="954" ht="13.5" customHeight="1">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row>
    <row r="955" ht="13.5" customHeight="1">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row>
    <row r="956" ht="13.5" customHeight="1">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row>
    <row r="957" ht="13.5" customHeight="1">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row>
    <row r="958" ht="13.5" customHeight="1">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row>
    <row r="959" ht="13.5" customHeight="1">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row>
    <row r="960" ht="13.5" customHeight="1">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row>
    <row r="961" ht="13.5" customHeight="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row>
    <row r="962" ht="13.5" customHeight="1">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row>
    <row r="963" ht="13.5" customHeight="1">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row>
    <row r="964" ht="13.5" customHeight="1">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row>
    <row r="965" ht="13.5" customHeight="1">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row>
    <row r="966" ht="13.5" customHeight="1">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row>
    <row r="967" ht="13.5" customHeight="1">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row>
    <row r="968" ht="13.5" customHeight="1">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row>
    <row r="969" ht="13.5" customHeight="1">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row>
    <row r="970" ht="13.5" customHeight="1">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row>
    <row r="971" ht="13.5" customHeight="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row>
    <row r="972" ht="13.5" customHeight="1">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row>
    <row r="973" ht="13.5" customHeight="1">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row>
    <row r="974" ht="13.5" customHeight="1">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row>
    <row r="975" ht="13.5" customHeight="1">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row>
    <row r="976" ht="13.5" customHeight="1">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row>
    <row r="977" ht="13.5" customHeight="1">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row>
    <row r="978" ht="13.5" customHeight="1">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row>
    <row r="979" ht="13.5" customHeight="1">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row>
    <row r="980" ht="13.5" customHeight="1">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row>
    <row r="981" ht="13.5" customHeight="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row>
    <row r="982" ht="13.5" customHeight="1">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row>
    <row r="983" ht="13.5" customHeight="1">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row>
    <row r="984" ht="13.5" customHeight="1">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row>
    <row r="985" ht="13.5" customHeight="1">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row>
    <row r="986" ht="13.5" customHeight="1">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row>
    <row r="987" ht="13.5" customHeight="1">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row>
    <row r="988" ht="13.5" customHeight="1">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row>
    <row r="989" ht="13.5" customHeight="1">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row>
    <row r="990" ht="13.5" customHeight="1">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row>
    <row r="991" ht="13.5" customHeight="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row>
    <row r="992" ht="13.5" customHeight="1">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row>
    <row r="993" ht="13.5" customHeight="1">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row>
    <row r="994" ht="13.5" customHeight="1">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row>
    <row r="995" ht="13.5" customHeight="1">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row>
    <row r="996" ht="13.5" customHeight="1">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row>
    <row r="997" ht="13.5" customHeight="1">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row>
    <row r="998" ht="13.5" customHeight="1">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row>
    <row r="999" ht="13.5" customHeight="1">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row>
    <row r="1000" ht="13.5" customHeight="1">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c r="AB1000" s="124"/>
    </row>
  </sheetData>
  <mergeCells count="2">
    <mergeCell ref="E2:J4"/>
    <mergeCell ref="W4:AA5"/>
  </mergeCells>
  <printOptions/>
  <pageMargins bottom="0.75" footer="0.0" header="0.0" left="0.7" right="0.7" top="0.75"/>
  <pageSetup orientation="landscape"/>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13.86"/>
    <col customWidth="1" min="4" max="4" width="26.86"/>
    <col customWidth="1" min="5" max="5" width="15.86"/>
    <col customWidth="1" min="6" max="6" width="20.71"/>
    <col customWidth="1" min="7" max="7" width="32.71"/>
    <col customWidth="1" min="8" max="8" width="29.43"/>
    <col customWidth="1" min="9" max="9" width="24.0"/>
    <col customWidth="1" min="10" max="10" width="14.57"/>
    <col customWidth="1" min="11" max="13" width="8.86"/>
    <col customWidth="1" min="14" max="14" width="34.0"/>
    <col customWidth="1" min="15" max="15" width="26.86"/>
    <col customWidth="1" min="16" max="16" width="26.57"/>
    <col customWidth="1" min="17" max="17" width="15.86"/>
    <col customWidth="1" min="18" max="23" width="8.86"/>
    <col customWidth="1" min="24" max="24" width="14.0"/>
    <col customWidth="1" min="25" max="25" width="17.86"/>
    <col customWidth="1" min="26" max="26" width="15.57"/>
  </cols>
  <sheetData>
    <row r="1" ht="13.5" customHeight="1">
      <c r="A1" s="124"/>
      <c r="B1" s="124"/>
      <c r="C1" s="124"/>
      <c r="D1" s="124"/>
      <c r="E1" s="124"/>
      <c r="F1" s="124"/>
      <c r="G1" s="124"/>
      <c r="H1" s="124"/>
      <c r="I1" s="124"/>
      <c r="J1" s="124"/>
      <c r="K1" s="124"/>
      <c r="L1" s="124"/>
      <c r="M1" s="124"/>
      <c r="N1" s="124"/>
      <c r="O1" s="124"/>
      <c r="P1" s="124"/>
      <c r="Q1" s="124"/>
      <c r="R1" s="124"/>
      <c r="S1" s="124"/>
      <c r="T1" s="124"/>
      <c r="U1" s="124"/>
      <c r="V1" s="124"/>
      <c r="W1" s="124"/>
      <c r="X1" s="124"/>
      <c r="Y1" s="124"/>
      <c r="Z1" s="124"/>
    </row>
    <row r="2" ht="13.5" customHeight="1">
      <c r="A2" s="124"/>
      <c r="B2" s="124"/>
      <c r="C2" s="124"/>
      <c r="D2" s="124"/>
      <c r="E2" s="150" t="s">
        <v>904</v>
      </c>
      <c r="F2" s="79"/>
      <c r="G2" s="79"/>
      <c r="H2" s="79"/>
      <c r="I2" s="79"/>
      <c r="J2" s="80"/>
      <c r="K2" s="124"/>
      <c r="L2" s="124"/>
      <c r="M2" s="124"/>
      <c r="N2" s="124"/>
      <c r="O2" s="124"/>
      <c r="P2" s="124"/>
      <c r="Q2" s="124"/>
      <c r="R2" s="124"/>
      <c r="S2" s="124"/>
      <c r="T2" s="124"/>
      <c r="U2" s="124"/>
      <c r="V2" s="124"/>
      <c r="W2" s="124"/>
      <c r="X2" s="124"/>
      <c r="Y2" s="124"/>
      <c r="Z2" s="124"/>
    </row>
    <row r="3" ht="13.5" customHeight="1">
      <c r="A3" s="124"/>
      <c r="B3" s="124"/>
      <c r="C3" s="124"/>
      <c r="D3" s="124"/>
      <c r="E3" s="81"/>
      <c r="J3" s="82"/>
      <c r="K3" s="124"/>
      <c r="L3" s="124"/>
      <c r="M3" s="124"/>
      <c r="N3" s="124"/>
      <c r="O3" s="124"/>
      <c r="P3" s="124"/>
      <c r="Q3" s="124"/>
      <c r="R3" s="124"/>
      <c r="S3" s="124"/>
      <c r="T3" s="124"/>
      <c r="U3" s="124"/>
      <c r="V3" s="124"/>
      <c r="W3" s="124"/>
      <c r="X3" s="124"/>
      <c r="Y3" s="124"/>
      <c r="Z3" s="124"/>
    </row>
    <row r="4" ht="13.5" customHeight="1">
      <c r="A4" s="124"/>
      <c r="B4" s="124"/>
      <c r="C4" s="124"/>
      <c r="D4" s="124"/>
      <c r="E4" s="83"/>
      <c r="F4" s="84"/>
      <c r="G4" s="84"/>
      <c r="H4" s="84"/>
      <c r="I4" s="84"/>
      <c r="J4" s="85"/>
      <c r="K4" s="124"/>
      <c r="L4" s="124"/>
      <c r="M4" s="124"/>
      <c r="N4" s="124"/>
      <c r="O4" s="124"/>
      <c r="P4" s="124"/>
      <c r="Q4" s="124"/>
      <c r="R4" s="124"/>
      <c r="S4" s="124"/>
      <c r="T4" s="124"/>
      <c r="U4" s="124"/>
      <c r="V4" s="124"/>
      <c r="W4" s="86" t="s">
        <v>615</v>
      </c>
      <c r="X4" s="79"/>
      <c r="Y4" s="79"/>
      <c r="Z4" s="80"/>
    </row>
    <row r="5" ht="13.5" customHeight="1">
      <c r="A5" s="124"/>
      <c r="B5" s="124"/>
      <c r="C5" s="124"/>
      <c r="D5" s="124"/>
      <c r="E5" s="124"/>
      <c r="F5" s="124"/>
      <c r="G5" s="124"/>
      <c r="H5" s="124"/>
      <c r="I5" s="124"/>
      <c r="J5" s="124"/>
      <c r="K5" s="124"/>
      <c r="L5" s="124"/>
      <c r="M5" s="124"/>
      <c r="N5" s="124"/>
      <c r="O5" s="124"/>
      <c r="P5" s="124"/>
      <c r="Q5" s="124"/>
      <c r="R5" s="124"/>
      <c r="S5" s="124"/>
      <c r="T5" s="124"/>
      <c r="U5" s="124"/>
      <c r="V5" s="124"/>
      <c r="W5" s="83"/>
      <c r="X5" s="84"/>
      <c r="Y5" s="84"/>
      <c r="Z5" s="85"/>
    </row>
    <row r="6" ht="13.5" customHeight="1">
      <c r="A6" s="124"/>
      <c r="B6" s="124"/>
      <c r="C6" s="120" t="s">
        <v>293</v>
      </c>
      <c r="D6" s="121" t="s">
        <v>295</v>
      </c>
      <c r="E6" s="121" t="s">
        <v>296</v>
      </c>
      <c r="F6" s="121" t="s">
        <v>297</v>
      </c>
      <c r="G6" s="121" t="s">
        <v>709</v>
      </c>
      <c r="H6" s="121" t="s">
        <v>298</v>
      </c>
      <c r="I6" s="121" t="s">
        <v>299</v>
      </c>
      <c r="J6" s="121" t="s">
        <v>619</v>
      </c>
      <c r="K6" s="122" t="s">
        <v>301</v>
      </c>
      <c r="L6" s="122" t="s">
        <v>681</v>
      </c>
      <c r="M6" s="122" t="s">
        <v>682</v>
      </c>
      <c r="N6" s="122" t="s">
        <v>621</v>
      </c>
      <c r="O6" s="122" t="s">
        <v>405</v>
      </c>
      <c r="P6" s="123" t="s">
        <v>622</v>
      </c>
      <c r="Q6" s="88" t="s">
        <v>624</v>
      </c>
      <c r="R6" s="92"/>
      <c r="S6" s="92"/>
      <c r="T6" s="92"/>
      <c r="U6" s="124"/>
      <c r="V6" s="124"/>
      <c r="W6" s="92" t="s">
        <v>636</v>
      </c>
      <c r="X6" s="92" t="s">
        <v>854</v>
      </c>
      <c r="Y6" s="125" t="s">
        <v>855</v>
      </c>
      <c r="Z6" s="92" t="s">
        <v>856</v>
      </c>
    </row>
    <row r="7" ht="13.5" customHeight="1">
      <c r="A7" s="124"/>
      <c r="B7" s="124"/>
      <c r="C7" s="124">
        <v>1.0</v>
      </c>
      <c r="D7" s="91" t="s">
        <v>905</v>
      </c>
      <c r="E7" s="110" t="s">
        <v>355</v>
      </c>
      <c r="F7" s="110" t="s">
        <v>881</v>
      </c>
      <c r="G7" s="127"/>
      <c r="H7" s="110" t="s">
        <v>818</v>
      </c>
      <c r="I7" s="153" t="s">
        <v>673</v>
      </c>
      <c r="J7" s="110">
        <v>35000.0</v>
      </c>
      <c r="K7" s="110">
        <v>5000.0</v>
      </c>
      <c r="L7" s="110"/>
      <c r="M7" s="110"/>
      <c r="N7" s="92" t="s">
        <v>906</v>
      </c>
      <c r="O7" s="110"/>
      <c r="P7" s="110"/>
      <c r="Q7" s="92"/>
      <c r="R7" s="92"/>
      <c r="S7" s="92"/>
      <c r="T7" s="92"/>
      <c r="U7" s="124"/>
      <c r="V7" s="124"/>
      <c r="W7" s="92">
        <v>2600.0</v>
      </c>
      <c r="X7" s="92" t="s">
        <v>309</v>
      </c>
      <c r="Y7" s="125">
        <v>45910.0</v>
      </c>
      <c r="Z7" s="92" t="s">
        <v>304</v>
      </c>
    </row>
    <row r="8" ht="13.5" customHeight="1">
      <c r="A8" s="124"/>
      <c r="B8" s="124"/>
      <c r="C8" s="124">
        <v>2.0</v>
      </c>
      <c r="D8" s="91" t="s">
        <v>907</v>
      </c>
      <c r="E8" s="110" t="s">
        <v>56</v>
      </c>
      <c r="F8" s="110" t="s">
        <v>881</v>
      </c>
      <c r="G8" s="127">
        <v>45940.0</v>
      </c>
      <c r="H8" s="110" t="s">
        <v>818</v>
      </c>
      <c r="I8" s="153" t="s">
        <v>673</v>
      </c>
      <c r="J8" s="92">
        <v>40000.0</v>
      </c>
      <c r="K8" s="145">
        <v>5000.0</v>
      </c>
      <c r="L8" s="97"/>
      <c r="M8" s="97"/>
      <c r="N8" s="92" t="s">
        <v>908</v>
      </c>
      <c r="O8" s="110"/>
      <c r="P8" s="110"/>
      <c r="Q8" s="92"/>
      <c r="R8" s="92"/>
      <c r="S8" s="92"/>
      <c r="T8" s="92"/>
      <c r="U8" s="124"/>
      <c r="V8" s="124"/>
      <c r="W8" s="92">
        <v>3630.0</v>
      </c>
      <c r="X8" s="92" t="s">
        <v>692</v>
      </c>
      <c r="Y8" s="185" t="s">
        <v>909</v>
      </c>
      <c r="Z8" s="92" t="s">
        <v>355</v>
      </c>
    </row>
    <row r="9" ht="13.5" customHeight="1">
      <c r="A9" s="124"/>
      <c r="B9" s="124"/>
      <c r="C9" s="124">
        <v>3.0</v>
      </c>
      <c r="D9" s="91" t="s">
        <v>910</v>
      </c>
      <c r="E9" s="110" t="s">
        <v>56</v>
      </c>
      <c r="F9" s="110" t="s">
        <v>193</v>
      </c>
      <c r="G9" s="154" t="s">
        <v>911</v>
      </c>
      <c r="H9" s="110" t="s">
        <v>449</v>
      </c>
      <c r="I9" s="153" t="s">
        <v>673</v>
      </c>
      <c r="J9" s="110">
        <v>110000.0</v>
      </c>
      <c r="K9" s="110">
        <v>80000.0</v>
      </c>
      <c r="L9" s="110"/>
      <c r="M9" s="110"/>
      <c r="N9" s="92" t="s">
        <v>912</v>
      </c>
      <c r="O9" s="190" t="s">
        <v>913</v>
      </c>
      <c r="P9" s="110"/>
      <c r="Q9" s="92"/>
      <c r="R9" s="92"/>
      <c r="S9" s="92"/>
      <c r="T9" s="92"/>
      <c r="U9" s="124"/>
      <c r="V9" s="124"/>
      <c r="W9" s="92">
        <v>14940.0</v>
      </c>
      <c r="X9" s="92" t="s">
        <v>914</v>
      </c>
      <c r="Y9" s="185" t="s">
        <v>915</v>
      </c>
      <c r="Z9" s="92" t="s">
        <v>304</v>
      </c>
    </row>
    <row r="10" ht="13.5" customHeight="1">
      <c r="A10" s="124"/>
      <c r="B10" s="124"/>
      <c r="C10" s="124">
        <v>4.0</v>
      </c>
      <c r="D10" s="91" t="s">
        <v>465</v>
      </c>
      <c r="E10" s="110" t="s">
        <v>56</v>
      </c>
      <c r="F10" s="110" t="s">
        <v>193</v>
      </c>
      <c r="G10" s="154" t="s">
        <v>911</v>
      </c>
      <c r="H10" s="110" t="s">
        <v>449</v>
      </c>
      <c r="I10" s="153" t="s">
        <v>673</v>
      </c>
      <c r="J10" s="110">
        <v>110000.0</v>
      </c>
      <c r="K10" s="189">
        <v>80000.0</v>
      </c>
      <c r="L10" s="110"/>
      <c r="M10" s="110"/>
      <c r="N10" s="92" t="s">
        <v>912</v>
      </c>
      <c r="O10" s="73"/>
      <c r="P10" s="110"/>
      <c r="Q10" s="92"/>
      <c r="R10" s="110"/>
      <c r="S10" s="110"/>
      <c r="T10" s="110"/>
      <c r="U10" s="124"/>
      <c r="V10" s="124"/>
      <c r="W10" s="92">
        <v>9835.0</v>
      </c>
      <c r="X10" s="92" t="s">
        <v>916</v>
      </c>
      <c r="Y10" s="191">
        <v>45931.0</v>
      </c>
      <c r="Z10" s="92" t="s">
        <v>304</v>
      </c>
    </row>
    <row r="11" ht="13.5" customHeight="1">
      <c r="A11" s="124"/>
      <c r="B11" s="124"/>
      <c r="C11" s="124">
        <v>5.0</v>
      </c>
      <c r="D11" s="91" t="s">
        <v>466</v>
      </c>
      <c r="E11" s="92" t="s">
        <v>56</v>
      </c>
      <c r="F11" s="92" t="s">
        <v>917</v>
      </c>
      <c r="G11" s="145" t="s">
        <v>918</v>
      </c>
      <c r="H11" s="92" t="s">
        <v>818</v>
      </c>
      <c r="I11" s="157" t="s">
        <v>919</v>
      </c>
      <c r="J11" s="92">
        <v>2000.0</v>
      </c>
      <c r="K11" s="92">
        <v>0.0</v>
      </c>
      <c r="L11" s="92"/>
      <c r="M11" s="92"/>
      <c r="N11" s="92" t="s">
        <v>920</v>
      </c>
      <c r="O11" s="92"/>
      <c r="P11" s="92"/>
      <c r="Q11" s="92"/>
      <c r="R11" s="110"/>
      <c r="S11" s="110"/>
      <c r="T11" s="110"/>
      <c r="U11" s="124"/>
      <c r="V11" s="124"/>
      <c r="W11" s="92">
        <v>5200.0</v>
      </c>
      <c r="X11" s="92" t="s">
        <v>921</v>
      </c>
      <c r="Y11" s="185" t="s">
        <v>922</v>
      </c>
      <c r="Z11" s="92" t="s">
        <v>355</v>
      </c>
    </row>
    <row r="12" ht="14.25" customHeight="1">
      <c r="A12" s="124"/>
      <c r="B12" s="124"/>
      <c r="C12" s="124">
        <v>6.0</v>
      </c>
      <c r="D12" s="91" t="s">
        <v>923</v>
      </c>
      <c r="E12" s="92" t="s">
        <v>304</v>
      </c>
      <c r="F12" s="92" t="s">
        <v>924</v>
      </c>
      <c r="G12" s="145" t="s">
        <v>925</v>
      </c>
      <c r="H12" s="186" t="s">
        <v>818</v>
      </c>
      <c r="I12" s="156" t="s">
        <v>926</v>
      </c>
      <c r="J12" s="145">
        <v>30000.0</v>
      </c>
      <c r="K12" s="97">
        <v>4000.0</v>
      </c>
      <c r="L12" s="97"/>
      <c r="M12" s="97"/>
      <c r="N12" s="92" t="s">
        <v>920</v>
      </c>
      <c r="O12" s="192" t="s">
        <v>927</v>
      </c>
      <c r="P12" s="92"/>
      <c r="Q12" s="92"/>
      <c r="R12" s="110"/>
      <c r="S12" s="110"/>
      <c r="T12" s="110"/>
      <c r="U12" s="124"/>
      <c r="V12" s="124"/>
      <c r="W12" s="92">
        <v>16260.0</v>
      </c>
      <c r="X12" s="92" t="s">
        <v>928</v>
      </c>
      <c r="Y12" s="185">
        <v>45931.0</v>
      </c>
      <c r="Z12" s="92" t="s">
        <v>716</v>
      </c>
    </row>
    <row r="13" ht="13.5" customHeight="1">
      <c r="A13" s="124"/>
      <c r="B13" s="124"/>
      <c r="C13" s="124">
        <v>7.0</v>
      </c>
      <c r="D13" s="91" t="s">
        <v>929</v>
      </c>
      <c r="E13" s="110" t="s">
        <v>56</v>
      </c>
      <c r="F13" s="110" t="s">
        <v>924</v>
      </c>
      <c r="G13" s="193" t="s">
        <v>925</v>
      </c>
      <c r="H13" s="110" t="s">
        <v>818</v>
      </c>
      <c r="I13" s="157" t="s">
        <v>926</v>
      </c>
      <c r="J13" s="145">
        <v>30000.0</v>
      </c>
      <c r="K13" s="97">
        <v>4000.0</v>
      </c>
      <c r="L13" s="97"/>
      <c r="M13" s="97"/>
      <c r="N13" s="92" t="s">
        <v>920</v>
      </c>
      <c r="O13" s="73"/>
      <c r="P13" s="110"/>
      <c r="Q13" s="92"/>
      <c r="R13" s="110"/>
      <c r="S13" s="110"/>
      <c r="T13" s="110"/>
      <c r="U13" s="124"/>
      <c r="V13" s="124"/>
      <c r="W13" s="187">
        <v>4140.0</v>
      </c>
      <c r="X13" s="187" t="s">
        <v>930</v>
      </c>
      <c r="Y13" s="188">
        <v>45931.0</v>
      </c>
      <c r="Z13" s="187" t="s">
        <v>304</v>
      </c>
    </row>
    <row r="14" ht="13.5" customHeight="1">
      <c r="A14" s="124"/>
      <c r="B14" s="124"/>
      <c r="C14" s="124">
        <v>8.0</v>
      </c>
      <c r="D14" s="91" t="s">
        <v>931</v>
      </c>
      <c r="E14" s="110" t="s">
        <v>56</v>
      </c>
      <c r="F14" s="110" t="s">
        <v>932</v>
      </c>
      <c r="G14" s="194" t="s">
        <v>915</v>
      </c>
      <c r="H14" s="110" t="s">
        <v>933</v>
      </c>
      <c r="I14" s="153" t="s">
        <v>673</v>
      </c>
      <c r="J14" s="110">
        <v>30000.0</v>
      </c>
      <c r="K14" s="110">
        <v>5000.0</v>
      </c>
      <c r="L14" s="110"/>
      <c r="M14" s="110"/>
      <c r="N14" s="92" t="s">
        <v>934</v>
      </c>
      <c r="O14" s="110">
        <v>25000.0</v>
      </c>
      <c r="P14" s="110"/>
      <c r="Q14" s="92"/>
      <c r="R14" s="110"/>
      <c r="S14" s="110"/>
      <c r="T14" s="110"/>
      <c r="U14" s="124"/>
      <c r="V14" s="124"/>
      <c r="W14" s="92"/>
      <c r="X14" s="92"/>
      <c r="Y14" s="145"/>
      <c r="Z14" s="92"/>
    </row>
    <row r="15" ht="13.5" customHeight="1">
      <c r="A15" s="124"/>
      <c r="B15" s="124"/>
      <c r="C15" s="124">
        <v>9.0</v>
      </c>
      <c r="D15" s="91" t="s">
        <v>935</v>
      </c>
      <c r="E15" s="110" t="s">
        <v>355</v>
      </c>
      <c r="F15" s="110" t="s">
        <v>510</v>
      </c>
      <c r="G15" s="195" t="s">
        <v>936</v>
      </c>
      <c r="H15" s="110" t="s">
        <v>937</v>
      </c>
      <c r="I15" s="153" t="s">
        <v>673</v>
      </c>
      <c r="J15" s="92">
        <v>140000.0</v>
      </c>
      <c r="K15" s="110">
        <v>80000.0</v>
      </c>
      <c r="L15" s="110"/>
      <c r="M15" s="110"/>
      <c r="N15" s="92" t="s">
        <v>906</v>
      </c>
      <c r="O15" s="110" t="s">
        <v>938</v>
      </c>
      <c r="P15" s="110"/>
      <c r="Q15" s="92"/>
      <c r="R15" s="110"/>
      <c r="S15" s="110"/>
      <c r="T15" s="110"/>
      <c r="U15" s="124"/>
      <c r="V15" s="124"/>
      <c r="W15" s="92"/>
      <c r="X15" s="92"/>
      <c r="Y15" s="92"/>
      <c r="Z15" s="92"/>
    </row>
    <row r="16" ht="13.5" customHeight="1">
      <c r="A16" s="124"/>
      <c r="B16" s="124"/>
      <c r="C16" s="124">
        <v>10.0</v>
      </c>
      <c r="D16" s="91" t="s">
        <v>939</v>
      </c>
      <c r="E16" s="110" t="s">
        <v>56</v>
      </c>
      <c r="F16" s="110" t="s">
        <v>881</v>
      </c>
      <c r="G16" s="110" t="s">
        <v>940</v>
      </c>
      <c r="H16" s="110" t="s">
        <v>502</v>
      </c>
      <c r="I16" s="153" t="s">
        <v>941</v>
      </c>
      <c r="J16" s="92">
        <v>153223.0</v>
      </c>
      <c r="K16" s="110">
        <v>145223.0</v>
      </c>
      <c r="L16" s="110"/>
      <c r="M16" s="110"/>
      <c r="N16" s="92" t="s">
        <v>942</v>
      </c>
      <c r="O16" s="110">
        <v>8000.0</v>
      </c>
      <c r="P16" s="110"/>
      <c r="Q16" s="92"/>
      <c r="R16" s="110"/>
      <c r="S16" s="110"/>
      <c r="T16" s="110"/>
      <c r="U16" s="124"/>
      <c r="V16" s="124"/>
      <c r="W16" s="92"/>
      <c r="X16" s="92"/>
      <c r="Y16" s="125"/>
      <c r="Z16" s="92"/>
    </row>
    <row r="17" ht="13.5" customHeight="1">
      <c r="A17" s="124"/>
      <c r="B17" s="124"/>
      <c r="C17" s="124">
        <v>3.0</v>
      </c>
      <c r="D17" s="91" t="s">
        <v>939</v>
      </c>
      <c r="E17" s="110" t="s">
        <v>56</v>
      </c>
      <c r="F17" s="110" t="s">
        <v>881</v>
      </c>
      <c r="G17" s="152" t="s">
        <v>940</v>
      </c>
      <c r="H17" s="110" t="s">
        <v>818</v>
      </c>
      <c r="I17" s="153" t="s">
        <v>943</v>
      </c>
      <c r="J17" s="92">
        <v>21000.0</v>
      </c>
      <c r="K17" s="110">
        <v>0.0</v>
      </c>
      <c r="L17" s="110"/>
      <c r="M17" s="110"/>
      <c r="N17" s="92" t="s">
        <v>944</v>
      </c>
      <c r="O17" s="110">
        <v>21000.0</v>
      </c>
      <c r="P17" s="110"/>
      <c r="Q17" s="92"/>
      <c r="R17" s="110"/>
      <c r="S17" s="110"/>
      <c r="T17" s="110"/>
      <c r="U17" s="124"/>
      <c r="V17" s="124"/>
      <c r="W17" s="92"/>
      <c r="X17" s="92"/>
      <c r="Y17" s="92"/>
      <c r="Z17" s="110"/>
    </row>
    <row r="18" ht="13.5" customHeight="1">
      <c r="A18" s="124"/>
      <c r="B18" s="124"/>
      <c r="C18" s="124">
        <v>14.0</v>
      </c>
      <c r="D18" s="91"/>
      <c r="E18" s="110"/>
      <c r="F18" s="110"/>
      <c r="G18" s="110"/>
      <c r="H18" s="110"/>
      <c r="I18" s="153"/>
      <c r="J18" s="110"/>
      <c r="K18" s="110"/>
      <c r="L18" s="110"/>
      <c r="M18" s="110"/>
      <c r="N18" s="92"/>
      <c r="O18" s="110"/>
      <c r="P18" s="110"/>
      <c r="Q18" s="92"/>
      <c r="R18" s="110"/>
      <c r="S18" s="110"/>
      <c r="T18" s="110"/>
      <c r="U18" s="124"/>
      <c r="V18" s="124"/>
      <c r="W18" s="92"/>
      <c r="X18" s="92"/>
      <c r="Y18" s="92"/>
      <c r="Z18" s="92"/>
    </row>
    <row r="19" ht="13.5" customHeight="1">
      <c r="A19" s="124"/>
      <c r="B19" s="124"/>
      <c r="C19" s="124"/>
      <c r="D19" s="91"/>
      <c r="E19" s="110"/>
      <c r="F19" s="110"/>
      <c r="G19" s="110"/>
      <c r="H19" s="110"/>
      <c r="I19" s="153"/>
      <c r="J19" s="110"/>
      <c r="K19" s="110"/>
      <c r="L19" s="110"/>
      <c r="M19" s="110"/>
      <c r="N19" s="92"/>
      <c r="O19" s="110"/>
      <c r="P19" s="110"/>
      <c r="Q19" s="92"/>
      <c r="R19" s="110"/>
      <c r="S19" s="110"/>
      <c r="T19" s="110"/>
      <c r="U19" s="124"/>
      <c r="V19" s="124"/>
      <c r="W19" s="110"/>
      <c r="X19" s="110"/>
      <c r="Y19" s="110"/>
      <c r="Z19" s="110"/>
    </row>
    <row r="20" ht="13.5" customHeight="1">
      <c r="A20" s="124"/>
      <c r="B20" s="124"/>
      <c r="C20" s="124"/>
      <c r="D20" s="91"/>
      <c r="E20" s="110"/>
      <c r="F20" s="110"/>
      <c r="G20" s="110"/>
      <c r="H20" s="110"/>
      <c r="I20" s="110"/>
      <c r="J20" s="110"/>
      <c r="K20" s="110"/>
      <c r="L20" s="110"/>
      <c r="M20" s="110"/>
      <c r="N20" s="92"/>
      <c r="O20" s="110"/>
      <c r="P20" s="110"/>
      <c r="Q20" s="92"/>
      <c r="R20" s="110"/>
      <c r="S20" s="110"/>
      <c r="T20" s="110"/>
      <c r="U20" s="124"/>
      <c r="V20" s="124"/>
      <c r="W20" s="124"/>
      <c r="X20" s="124"/>
      <c r="Y20" s="124"/>
      <c r="Z20" s="124"/>
    </row>
    <row r="21" ht="13.5" customHeight="1">
      <c r="A21" s="124"/>
      <c r="B21" s="124"/>
      <c r="C21" s="124"/>
      <c r="D21" s="91"/>
      <c r="E21" s="110"/>
      <c r="F21" s="110"/>
      <c r="G21" s="110"/>
      <c r="H21" s="110"/>
      <c r="I21" s="110"/>
      <c r="J21" s="110"/>
      <c r="K21" s="110"/>
      <c r="L21" s="110"/>
      <c r="M21" s="110"/>
      <c r="N21" s="92"/>
      <c r="O21" s="110"/>
      <c r="P21" s="110"/>
      <c r="Q21" s="92"/>
      <c r="R21" s="110"/>
      <c r="S21" s="110"/>
      <c r="T21" s="110"/>
      <c r="U21" s="124"/>
      <c r="V21" s="124"/>
      <c r="W21" s="124"/>
      <c r="X21" s="124"/>
      <c r="Y21" s="124"/>
      <c r="Z21" s="124"/>
    </row>
    <row r="22" ht="13.5" customHeight="1">
      <c r="A22" s="124"/>
      <c r="B22" s="124"/>
      <c r="C22" s="124"/>
      <c r="D22" s="91"/>
      <c r="E22" s="110"/>
      <c r="F22" s="110"/>
      <c r="G22" s="110"/>
      <c r="H22" s="110"/>
      <c r="I22" s="110"/>
      <c r="J22" s="110"/>
      <c r="K22" s="110"/>
      <c r="L22" s="110"/>
      <c r="M22" s="110"/>
      <c r="N22" s="92"/>
      <c r="O22" s="110"/>
      <c r="P22" s="110"/>
      <c r="Q22" s="92"/>
      <c r="R22" s="110"/>
      <c r="S22" s="110"/>
      <c r="T22" s="110"/>
      <c r="U22" s="124"/>
      <c r="V22" s="124"/>
      <c r="W22" s="124"/>
      <c r="X22" s="124"/>
      <c r="Y22" s="124"/>
      <c r="Z22" s="124"/>
    </row>
    <row r="23" ht="13.5" customHeight="1">
      <c r="A23" s="124"/>
      <c r="B23" s="124"/>
      <c r="C23" s="124"/>
      <c r="D23" s="110"/>
      <c r="E23" s="110"/>
      <c r="F23" s="110"/>
      <c r="G23" s="110"/>
      <c r="H23" s="110"/>
      <c r="I23" s="110"/>
      <c r="J23" s="110"/>
      <c r="K23" s="110"/>
      <c r="L23" s="110"/>
      <c r="M23" s="110"/>
      <c r="N23" s="92"/>
      <c r="O23" s="110"/>
      <c r="P23" s="110"/>
      <c r="Q23" s="92"/>
      <c r="R23" s="110"/>
      <c r="S23" s="110"/>
      <c r="T23" s="110"/>
      <c r="U23" s="161"/>
      <c r="V23" s="161"/>
      <c r="W23" s="124"/>
      <c r="X23" s="124"/>
      <c r="Y23" s="124"/>
      <c r="Z23" s="124"/>
    </row>
    <row r="24" ht="13.5" customHeight="1">
      <c r="A24" s="124"/>
      <c r="B24" s="124"/>
      <c r="C24" s="124"/>
      <c r="D24" s="124"/>
      <c r="E24" s="124"/>
      <c r="F24" s="110"/>
      <c r="G24" s="124"/>
      <c r="H24" s="124"/>
      <c r="I24" s="124"/>
      <c r="J24" s="124"/>
      <c r="K24" s="124"/>
      <c r="L24" s="124"/>
      <c r="M24" s="124"/>
      <c r="N24" s="124"/>
      <c r="O24" s="124"/>
      <c r="P24" s="124"/>
      <c r="Q24" s="124"/>
      <c r="R24" s="124"/>
      <c r="S24" s="124"/>
      <c r="T24" s="124"/>
      <c r="U24" s="124"/>
      <c r="V24" s="124"/>
      <c r="W24" s="124"/>
      <c r="X24" s="124"/>
      <c r="Y24" s="124"/>
      <c r="Z24" s="124"/>
    </row>
    <row r="25" ht="13.5" customHeight="1">
      <c r="A25" s="124"/>
      <c r="B25" s="124"/>
      <c r="C25" s="124"/>
      <c r="D25" s="124"/>
      <c r="E25" s="124"/>
      <c r="F25" s="110"/>
      <c r="G25" s="124"/>
      <c r="H25" s="124"/>
      <c r="I25" s="124"/>
      <c r="J25" s="124"/>
      <c r="K25" s="124"/>
      <c r="L25" s="124"/>
      <c r="M25" s="124"/>
      <c r="N25" s="124"/>
      <c r="O25" s="124"/>
      <c r="P25" s="124"/>
      <c r="Q25" s="124"/>
      <c r="R25" s="124"/>
      <c r="S25" s="124"/>
      <c r="T25" s="124"/>
      <c r="U25" s="124"/>
      <c r="V25" s="124"/>
      <c r="W25" s="124"/>
      <c r="X25" s="124"/>
      <c r="Y25" s="124"/>
      <c r="Z25" s="124"/>
    </row>
    <row r="26" ht="13.5" customHeight="1">
      <c r="A26" s="124"/>
      <c r="B26" s="124"/>
      <c r="C26" s="124"/>
      <c r="D26" s="124"/>
      <c r="E26" s="124"/>
      <c r="F26" s="110"/>
      <c r="G26" s="124"/>
      <c r="H26" s="124"/>
      <c r="I26" s="124"/>
      <c r="J26" s="124"/>
      <c r="K26" s="124"/>
      <c r="L26" s="124"/>
      <c r="M26" s="124"/>
      <c r="N26" s="124"/>
      <c r="O26" s="124"/>
      <c r="P26" s="124"/>
      <c r="Q26" s="124"/>
      <c r="R26" s="124"/>
      <c r="S26" s="124"/>
      <c r="T26" s="124"/>
      <c r="U26" s="124"/>
      <c r="V26" s="124"/>
      <c r="W26" s="124"/>
      <c r="X26" s="124"/>
      <c r="Y26" s="124"/>
      <c r="Z26" s="124"/>
    </row>
    <row r="27" ht="13.5" customHeight="1">
      <c r="A27" s="124"/>
      <c r="B27" s="124"/>
      <c r="C27" s="124"/>
      <c r="D27" s="124"/>
      <c r="E27" s="124"/>
      <c r="F27" s="124"/>
      <c r="G27" s="124"/>
      <c r="H27" s="124"/>
      <c r="I27" s="124"/>
      <c r="J27" s="124"/>
      <c r="K27" s="124"/>
      <c r="L27" s="124"/>
      <c r="M27" s="124"/>
      <c r="N27" s="124"/>
      <c r="O27" s="124"/>
      <c r="P27" s="124"/>
      <c r="Q27" s="124"/>
      <c r="R27" s="124"/>
      <c r="S27" s="124"/>
      <c r="T27" s="124"/>
      <c r="U27" s="124"/>
      <c r="V27" s="124"/>
      <c r="W27" s="124"/>
      <c r="X27" s="124"/>
      <c r="Y27" s="124"/>
      <c r="Z27" s="124"/>
    </row>
    <row r="28" ht="13.5" customHeight="1">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row>
    <row r="29" ht="13.5" customHeight="1">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row>
    <row r="30" ht="13.5" customHeight="1">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row>
    <row r="31" ht="13.5" customHeight="1">
      <c r="A31" s="124"/>
      <c r="B31" s="124"/>
      <c r="C31" s="124"/>
      <c r="D31" s="124"/>
      <c r="E31" s="124"/>
      <c r="F31" s="124"/>
      <c r="G31" s="124"/>
      <c r="H31" s="124"/>
      <c r="I31" s="124"/>
      <c r="J31" s="124"/>
      <c r="K31" s="124"/>
      <c r="L31" s="124"/>
      <c r="M31" s="124"/>
      <c r="N31" s="124"/>
      <c r="O31" s="124"/>
      <c r="P31" s="124"/>
      <c r="Q31" s="124"/>
      <c r="R31" s="124"/>
      <c r="S31" s="124"/>
      <c r="T31" s="124"/>
      <c r="U31" s="124"/>
      <c r="V31" s="124"/>
      <c r="W31" s="124"/>
      <c r="X31" s="124"/>
      <c r="Y31" s="124"/>
      <c r="Z31" s="124"/>
    </row>
    <row r="32" ht="13.5" customHeight="1">
      <c r="A32" s="124"/>
      <c r="B32" s="124"/>
      <c r="C32" s="124"/>
      <c r="D32" s="124"/>
      <c r="E32" s="124"/>
      <c r="F32" s="124"/>
      <c r="G32" s="124"/>
      <c r="H32" s="124"/>
      <c r="I32" s="124"/>
      <c r="J32" s="124"/>
      <c r="K32" s="124"/>
      <c r="L32" s="124"/>
      <c r="M32" s="124"/>
      <c r="N32" s="124"/>
      <c r="O32" s="124"/>
      <c r="P32" s="124"/>
      <c r="Q32" s="124"/>
      <c r="R32" s="124"/>
      <c r="S32" s="124"/>
      <c r="T32" s="124"/>
      <c r="U32" s="124"/>
      <c r="V32" s="124"/>
      <c r="W32" s="124"/>
      <c r="X32" s="124"/>
      <c r="Y32" s="124"/>
      <c r="Z32" s="124"/>
    </row>
    <row r="33" ht="13.5" customHeight="1">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row>
    <row r="34" ht="13.5" customHeight="1">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row>
    <row r="35" ht="13.5" customHeight="1">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row>
    <row r="36" ht="13.5" customHeight="1">
      <c r="A36" s="124"/>
      <c r="B36" s="124"/>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row>
    <row r="37" ht="13.5" customHeight="1">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row>
    <row r="38" ht="13.5" customHeight="1">
      <c r="A38" s="124"/>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row>
    <row r="39" ht="13.5" customHeight="1">
      <c r="A39" s="124"/>
      <c r="B39" s="124"/>
      <c r="C39" s="151">
        <v>45753.0</v>
      </c>
      <c r="D39" s="124">
        <v>20000.0</v>
      </c>
      <c r="E39" s="124" t="s">
        <v>799</v>
      </c>
      <c r="F39" s="124" t="s">
        <v>800</v>
      </c>
      <c r="G39" s="124"/>
      <c r="H39" s="124"/>
      <c r="I39" s="124"/>
      <c r="J39" s="124"/>
      <c r="K39" s="124"/>
      <c r="L39" s="124"/>
      <c r="M39" s="124"/>
      <c r="N39" s="124"/>
      <c r="O39" s="124"/>
      <c r="P39" s="124"/>
      <c r="Q39" s="124"/>
      <c r="R39" s="124"/>
      <c r="S39" s="124"/>
      <c r="T39" s="124"/>
      <c r="U39" s="124"/>
      <c r="V39" s="124"/>
      <c r="W39" s="124"/>
      <c r="X39" s="124"/>
      <c r="Y39" s="124"/>
      <c r="Z39" s="124"/>
    </row>
    <row r="40" ht="13.5" customHeight="1">
      <c r="A40" s="124"/>
      <c r="B40" s="124"/>
      <c r="C40" s="151">
        <v>45814.0</v>
      </c>
      <c r="D40" s="124">
        <v>20000.0</v>
      </c>
      <c r="E40" s="124" t="s">
        <v>801</v>
      </c>
      <c r="F40" s="124" t="s">
        <v>802</v>
      </c>
      <c r="G40" s="124"/>
      <c r="H40" s="124"/>
      <c r="I40" s="124"/>
      <c r="J40" s="124"/>
      <c r="K40" s="124"/>
      <c r="L40" s="124"/>
      <c r="M40" s="124"/>
      <c r="N40" s="124"/>
      <c r="O40" s="124"/>
      <c r="P40" s="124"/>
      <c r="Q40" s="124"/>
      <c r="R40" s="124"/>
      <c r="S40" s="124"/>
      <c r="T40" s="124"/>
      <c r="U40" s="124"/>
      <c r="V40" s="124"/>
      <c r="W40" s="124"/>
      <c r="X40" s="124"/>
      <c r="Y40" s="124"/>
      <c r="Z40" s="124"/>
    </row>
    <row r="41" ht="13.5" customHeight="1">
      <c r="A41" s="124"/>
      <c r="B41" s="124"/>
      <c r="C41" s="124" t="s">
        <v>803</v>
      </c>
      <c r="D41" s="124">
        <v>43000.0</v>
      </c>
      <c r="E41" s="124" t="s">
        <v>801</v>
      </c>
      <c r="F41" s="124" t="s">
        <v>804</v>
      </c>
      <c r="G41" s="124"/>
      <c r="H41" s="124"/>
      <c r="I41" s="124"/>
      <c r="J41" s="124"/>
      <c r="K41" s="124"/>
      <c r="L41" s="124"/>
      <c r="M41" s="124"/>
      <c r="N41" s="124"/>
      <c r="O41" s="124"/>
      <c r="P41" s="124"/>
      <c r="Q41" s="124"/>
      <c r="R41" s="124"/>
      <c r="S41" s="124"/>
      <c r="T41" s="124"/>
      <c r="U41" s="124"/>
      <c r="V41" s="124"/>
      <c r="W41" s="124"/>
      <c r="X41" s="124"/>
      <c r="Y41" s="124"/>
      <c r="Z41" s="124"/>
    </row>
    <row r="42" ht="13.5" customHeight="1">
      <c r="A42" s="124"/>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row>
    <row r="43" ht="13.5" customHeight="1">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row>
    <row r="44" ht="13.5" customHeight="1">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row>
    <row r="45" ht="13.5" customHeight="1">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row>
    <row r="46" ht="13.5" customHeight="1">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row>
    <row r="47" ht="13.5" customHeight="1">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row>
    <row r="48" ht="13.5" customHeight="1">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row>
    <row r="49" ht="13.5" customHeight="1">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row>
    <row r="50" ht="13.5" customHeight="1">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row>
    <row r="51" ht="13.5" customHeight="1">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row>
    <row r="52" ht="13.5" customHeight="1">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row>
    <row r="53" ht="13.5" customHeight="1">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row>
    <row r="54" ht="13.5" customHeight="1">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row>
    <row r="55" ht="13.5" customHeight="1">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row>
    <row r="56" ht="13.5" customHeight="1">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row>
    <row r="57" ht="13.5" customHeight="1">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row>
    <row r="58" ht="13.5" customHeight="1">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row>
    <row r="59" ht="13.5" customHeight="1">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row>
    <row r="60" ht="13.5" customHeight="1">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row>
    <row r="61" ht="13.5" customHeight="1">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row>
    <row r="62" ht="13.5" customHeight="1">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row>
    <row r="63" ht="13.5" customHeight="1">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row>
    <row r="64" ht="13.5" customHeight="1">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row>
    <row r="65" ht="13.5" customHeight="1">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row>
    <row r="66" ht="13.5" customHeight="1">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row>
    <row r="67" ht="13.5" customHeight="1">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row>
    <row r="68" ht="13.5" customHeight="1">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row>
    <row r="69" ht="13.5" customHeight="1">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row>
    <row r="70" ht="13.5" customHeight="1">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row>
    <row r="71" ht="13.5" customHeight="1">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row>
    <row r="72" ht="13.5" customHeight="1">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row>
    <row r="73" ht="13.5" customHeight="1">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row>
    <row r="74" ht="13.5" customHeight="1">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row>
    <row r="75" ht="13.5" customHeight="1">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row>
    <row r="76" ht="13.5" customHeight="1">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row>
    <row r="77" ht="13.5" customHeight="1">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row>
    <row r="78" ht="13.5" customHeight="1">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row>
    <row r="79" ht="13.5" customHeight="1">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row>
    <row r="80" ht="13.5" customHeight="1">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row>
    <row r="81" ht="13.5" customHeight="1">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row>
    <row r="82" ht="13.5" customHeight="1">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row>
    <row r="83" ht="13.5" customHeight="1">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row>
    <row r="84" ht="13.5" customHeight="1">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row>
    <row r="85" ht="13.5" customHeight="1">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row>
    <row r="86" ht="13.5" customHeight="1">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row>
    <row r="87" ht="13.5" customHeight="1">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row>
    <row r="88" ht="13.5" customHeight="1">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row>
    <row r="89" ht="13.5" customHeight="1">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row>
    <row r="90" ht="13.5" customHeight="1">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row>
    <row r="91" ht="13.5" customHeight="1">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row>
    <row r="92" ht="13.5" customHeight="1">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row>
    <row r="93" ht="13.5" customHeight="1">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row>
    <row r="94" ht="13.5" customHeight="1">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row>
    <row r="95" ht="13.5" customHeight="1">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row>
    <row r="96" ht="13.5" customHeight="1">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row>
    <row r="97" ht="13.5" customHeight="1">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row>
    <row r="98" ht="13.5" customHeight="1">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row>
    <row r="99" ht="13.5" customHeight="1">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row>
    <row r="100" ht="13.5" customHeight="1">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row>
    <row r="101" ht="13.5" customHeight="1">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row>
    <row r="102" ht="13.5" customHeight="1">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row>
    <row r="103" ht="13.5" customHeight="1">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row>
    <row r="104" ht="13.5" customHeight="1">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row>
    <row r="105" ht="13.5" customHeight="1">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row>
    <row r="106" ht="13.5" customHeight="1">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row>
    <row r="107" ht="13.5" customHeight="1">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row>
    <row r="108" ht="13.5" customHeight="1">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row>
    <row r="109" ht="13.5" customHeight="1">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row>
    <row r="110" ht="13.5" customHeight="1">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row>
    <row r="111" ht="13.5" customHeight="1">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row>
    <row r="112" ht="13.5" customHeight="1">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row>
    <row r="113" ht="13.5" customHeight="1">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row>
    <row r="114" ht="13.5" customHeight="1">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row>
    <row r="115" ht="13.5" customHeight="1">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row>
    <row r="116" ht="13.5" customHeight="1">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row>
    <row r="117" ht="13.5" customHeight="1">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row>
    <row r="118" ht="13.5" customHeight="1">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row>
    <row r="119" ht="13.5" customHeight="1">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row>
    <row r="120" ht="13.5" customHeight="1">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row>
    <row r="121" ht="13.5" customHeight="1">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row>
    <row r="122" ht="13.5" customHeight="1">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row>
    <row r="123" ht="13.5" customHeight="1">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row>
    <row r="124" ht="13.5" customHeight="1">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row>
    <row r="125" ht="13.5" customHeight="1">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row>
    <row r="126" ht="13.5" customHeight="1">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row>
    <row r="127" ht="13.5" customHeight="1">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row>
    <row r="128" ht="13.5" customHeight="1">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row>
    <row r="129" ht="13.5" customHeight="1">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row>
    <row r="130" ht="13.5" customHeight="1">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row>
    <row r="131" ht="13.5" customHeight="1">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row>
    <row r="132" ht="13.5" customHeight="1">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row>
    <row r="133" ht="13.5" customHeight="1">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row>
    <row r="134" ht="13.5" customHeight="1">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row>
    <row r="135" ht="13.5" customHeight="1">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row>
    <row r="136" ht="13.5" customHeight="1">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row>
    <row r="137" ht="13.5" customHeight="1">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row>
    <row r="138" ht="13.5" customHeight="1">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row>
    <row r="139" ht="13.5" customHeight="1">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row>
    <row r="140" ht="13.5" customHeight="1">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row>
    <row r="141" ht="13.5" customHeight="1">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row>
    <row r="142" ht="13.5" customHeight="1">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row>
    <row r="143" ht="13.5" customHeight="1">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row>
    <row r="144" ht="13.5" customHeight="1">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row>
    <row r="145" ht="13.5" customHeight="1">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row>
    <row r="146" ht="13.5" customHeight="1">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row>
    <row r="147" ht="13.5" customHeight="1">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row>
    <row r="148" ht="13.5" customHeight="1">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row>
    <row r="149" ht="13.5" customHeight="1">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row>
    <row r="150" ht="13.5" customHeight="1">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row>
    <row r="151" ht="13.5" customHeight="1">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row>
    <row r="152" ht="13.5" customHeight="1">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row>
    <row r="153" ht="13.5" customHeight="1">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row>
    <row r="154" ht="13.5" customHeight="1">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row>
    <row r="155" ht="13.5" customHeight="1">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row>
    <row r="156" ht="13.5" customHeight="1">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row>
    <row r="157" ht="13.5" customHeight="1">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row>
    <row r="158" ht="13.5" customHeight="1">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row>
    <row r="159" ht="13.5" customHeight="1">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row>
    <row r="160" ht="13.5" customHeight="1">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row>
    <row r="161" ht="13.5" customHeight="1">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row>
    <row r="162" ht="13.5" customHeight="1">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row>
    <row r="163" ht="13.5" customHeight="1">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row>
    <row r="164" ht="13.5" customHeight="1">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row>
    <row r="165" ht="13.5" customHeight="1">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row>
    <row r="166" ht="13.5" customHeight="1">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row>
    <row r="167" ht="13.5" customHeight="1">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row>
    <row r="168" ht="13.5" customHeight="1">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row>
    <row r="169" ht="13.5" customHeight="1">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row>
    <row r="170" ht="13.5" customHeight="1">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row>
    <row r="171" ht="13.5" customHeight="1">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row>
    <row r="172" ht="13.5" customHeight="1">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row>
    <row r="173" ht="13.5" customHeight="1">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row>
    <row r="174" ht="13.5" customHeight="1">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row>
    <row r="175" ht="13.5" customHeight="1">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row>
    <row r="176" ht="13.5" customHeight="1">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row>
    <row r="177" ht="13.5" customHeight="1">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row>
    <row r="178" ht="13.5" customHeight="1">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row>
    <row r="179" ht="13.5" customHeight="1">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row>
    <row r="180" ht="13.5" customHeight="1">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row>
    <row r="181" ht="13.5" customHeight="1">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row>
    <row r="182" ht="13.5" customHeight="1">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row>
    <row r="183" ht="13.5" customHeight="1">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row>
    <row r="184" ht="13.5" customHeight="1">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row>
    <row r="185" ht="13.5" customHeight="1">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row>
    <row r="186" ht="13.5" customHeight="1">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row>
    <row r="187" ht="13.5" customHeight="1">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row>
    <row r="188" ht="13.5" customHeight="1">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row>
    <row r="189" ht="13.5" customHeight="1">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row>
    <row r="190" ht="13.5" customHeight="1">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row>
    <row r="191" ht="13.5" customHeight="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row>
    <row r="192" ht="13.5" customHeight="1">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row>
    <row r="193" ht="13.5" customHeight="1">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row>
    <row r="194" ht="13.5" customHeight="1">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row>
    <row r="195" ht="13.5" customHeight="1">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row>
    <row r="196" ht="13.5" customHeight="1">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row>
    <row r="197" ht="13.5" customHeight="1">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row>
    <row r="198" ht="13.5" customHeight="1">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row>
    <row r="199" ht="13.5" customHeight="1">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row>
    <row r="200" ht="13.5" customHeight="1">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row>
    <row r="201" ht="13.5" customHeight="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row>
    <row r="202" ht="13.5" customHeight="1">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row>
    <row r="203" ht="13.5" customHeight="1">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row>
    <row r="204" ht="13.5" customHeight="1">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row>
    <row r="205" ht="13.5" customHeight="1">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row>
    <row r="206" ht="13.5" customHeight="1">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row>
    <row r="207" ht="13.5" customHeight="1">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row>
    <row r="208" ht="13.5" customHeight="1">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row>
    <row r="209" ht="13.5" customHeight="1">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row>
    <row r="210" ht="13.5" customHeight="1">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row>
    <row r="211" ht="13.5" customHeight="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row>
    <row r="212" ht="13.5" customHeight="1">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row>
    <row r="213" ht="13.5" customHeight="1">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row>
    <row r="214" ht="13.5" customHeight="1">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row>
    <row r="215" ht="13.5" customHeight="1">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row>
    <row r="216" ht="13.5" customHeight="1">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row>
    <row r="217" ht="13.5" customHeight="1">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row>
    <row r="218" ht="13.5" customHeight="1">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row>
    <row r="219" ht="13.5" customHeight="1">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row>
    <row r="220" ht="13.5" customHeight="1">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row>
    <row r="221" ht="13.5" customHeight="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row>
    <row r="222" ht="13.5" customHeight="1">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row>
    <row r="223" ht="13.5" customHeight="1">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row>
    <row r="224" ht="13.5" customHeight="1">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row>
    <row r="225" ht="13.5" customHeight="1">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row>
    <row r="226" ht="13.5" customHeight="1">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row>
    <row r="227" ht="13.5" customHeight="1">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row>
    <row r="228" ht="13.5" customHeight="1">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row>
    <row r="229" ht="13.5" customHeight="1">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row>
    <row r="230" ht="13.5" customHeight="1">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row>
    <row r="231" ht="13.5" customHeight="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row>
    <row r="232" ht="13.5" customHeight="1">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row>
    <row r="233" ht="13.5" customHeight="1">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row>
    <row r="234" ht="13.5" customHeight="1">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row>
    <row r="235" ht="13.5" customHeight="1">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row>
    <row r="236" ht="13.5" customHeight="1">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row>
    <row r="237" ht="13.5" customHeight="1">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row>
    <row r="238" ht="13.5" customHeight="1">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row>
    <row r="239" ht="13.5" customHeight="1">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row>
    <row r="240" ht="13.5" customHeight="1">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row>
    <row r="241" ht="13.5" customHeight="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row>
    <row r="242" ht="13.5" customHeight="1">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row>
    <row r="243" ht="13.5" customHeight="1">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row>
    <row r="244" ht="13.5" customHeight="1">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row>
    <row r="245" ht="13.5" customHeight="1">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row>
    <row r="246" ht="13.5" customHeight="1">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row>
    <row r="247" ht="13.5" customHeight="1">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row>
    <row r="248" ht="13.5" customHeight="1">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row>
    <row r="249" ht="13.5" customHeight="1">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row>
    <row r="250" ht="13.5" customHeight="1">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row>
    <row r="251" ht="13.5" customHeight="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row>
    <row r="252" ht="13.5" customHeight="1">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row>
    <row r="253" ht="13.5" customHeight="1">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row>
    <row r="254" ht="13.5" customHeight="1">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row>
    <row r="255" ht="13.5" customHeight="1">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row>
    <row r="256" ht="13.5" customHeight="1">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row>
    <row r="257" ht="13.5" customHeight="1">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row>
    <row r="258" ht="13.5" customHeight="1">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row>
    <row r="259" ht="13.5" customHeight="1">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row>
    <row r="260" ht="13.5" customHeight="1">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row>
    <row r="261" ht="13.5" customHeight="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row>
    <row r="262" ht="13.5" customHeight="1">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row>
    <row r="263" ht="13.5" customHeight="1">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row>
    <row r="264" ht="13.5" customHeight="1">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row>
    <row r="265" ht="13.5" customHeight="1">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row>
    <row r="266" ht="13.5" customHeight="1">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row>
    <row r="267" ht="13.5" customHeight="1">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row>
    <row r="268" ht="13.5" customHeight="1">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row>
    <row r="269" ht="13.5" customHeight="1">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row>
    <row r="270" ht="13.5" customHeight="1">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row>
    <row r="271" ht="13.5" customHeight="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row>
    <row r="272" ht="13.5" customHeight="1">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row>
    <row r="273" ht="13.5" customHeight="1">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row>
    <row r="274" ht="13.5" customHeight="1">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row>
    <row r="275" ht="13.5" customHeight="1">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row>
    <row r="276" ht="13.5" customHeight="1">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row>
    <row r="277" ht="13.5" customHeight="1">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row>
    <row r="278" ht="13.5" customHeight="1">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row>
    <row r="279" ht="13.5" customHeight="1">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row>
    <row r="280" ht="13.5" customHeight="1">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row>
    <row r="281" ht="13.5" customHeight="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row>
    <row r="282" ht="13.5" customHeight="1">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row>
    <row r="283" ht="13.5" customHeight="1">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row>
    <row r="284" ht="13.5" customHeight="1">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row>
    <row r="285" ht="13.5" customHeight="1">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row>
    <row r="286" ht="13.5" customHeight="1">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row>
    <row r="287" ht="13.5" customHeight="1">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row>
    <row r="288" ht="13.5" customHeight="1">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row>
    <row r="289" ht="13.5" customHeight="1">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row>
    <row r="290" ht="13.5" customHeight="1">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row>
    <row r="291" ht="13.5" customHeight="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row>
    <row r="292" ht="13.5" customHeight="1">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row>
    <row r="293" ht="13.5" customHeight="1">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row>
    <row r="294" ht="13.5" customHeight="1">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row>
    <row r="295" ht="13.5" customHeight="1">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row>
    <row r="296" ht="13.5" customHeight="1">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row>
    <row r="297" ht="13.5" customHeight="1">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row>
    <row r="298" ht="13.5" customHeight="1">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row>
    <row r="299" ht="13.5" customHeight="1">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row>
    <row r="300" ht="13.5" customHeight="1">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row>
    <row r="301" ht="13.5" customHeight="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row>
    <row r="302" ht="13.5" customHeight="1">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row>
    <row r="303" ht="13.5" customHeight="1">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row>
    <row r="304" ht="13.5" customHeight="1">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row>
    <row r="305" ht="13.5" customHeight="1">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row>
    <row r="306" ht="13.5" customHeight="1">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row>
    <row r="307" ht="13.5" customHeight="1">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row>
    <row r="308" ht="13.5" customHeight="1">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row>
    <row r="309" ht="13.5" customHeight="1">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row>
    <row r="310" ht="13.5" customHeight="1">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row>
    <row r="311" ht="13.5" customHeight="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row>
    <row r="312" ht="13.5" customHeight="1">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row>
    <row r="313" ht="13.5" customHeight="1">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row>
    <row r="314" ht="13.5" customHeight="1">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row>
    <row r="315" ht="13.5" customHeight="1">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row>
    <row r="316" ht="13.5" customHeight="1">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row>
    <row r="317" ht="13.5" customHeight="1">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row>
    <row r="318" ht="13.5" customHeight="1">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row>
    <row r="319" ht="13.5" customHeight="1">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row>
    <row r="320" ht="13.5" customHeight="1">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row>
    <row r="321" ht="13.5" customHeight="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row>
    <row r="322" ht="13.5" customHeight="1">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row>
    <row r="323" ht="13.5" customHeight="1">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row>
    <row r="324" ht="13.5" customHeight="1">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row>
    <row r="325" ht="13.5" customHeight="1">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row>
    <row r="326" ht="13.5" customHeight="1">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row>
    <row r="327" ht="13.5" customHeight="1">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row>
    <row r="328" ht="13.5" customHeight="1">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row>
    <row r="329" ht="13.5" customHeight="1">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row>
    <row r="330" ht="13.5" customHeight="1">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row>
    <row r="331" ht="13.5" customHeight="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row>
    <row r="332" ht="13.5" customHeight="1">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row>
    <row r="333" ht="13.5" customHeight="1">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row>
    <row r="334" ht="13.5" customHeight="1">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row>
    <row r="335" ht="13.5" customHeight="1">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row>
    <row r="336" ht="13.5" customHeight="1">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row>
    <row r="337" ht="13.5" customHeight="1">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row>
    <row r="338" ht="13.5" customHeight="1">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row>
    <row r="339" ht="13.5" customHeight="1">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row>
    <row r="340" ht="13.5" customHeight="1">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row>
    <row r="341" ht="13.5" customHeight="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row>
    <row r="342" ht="13.5" customHeight="1">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row>
    <row r="343" ht="13.5" customHeight="1">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row>
    <row r="344" ht="13.5" customHeight="1">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row>
    <row r="345" ht="13.5" customHeight="1">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row>
    <row r="346" ht="13.5" customHeight="1">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row>
    <row r="347" ht="13.5" customHeight="1">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row>
    <row r="348" ht="13.5" customHeight="1">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row>
    <row r="349" ht="13.5" customHeight="1">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row>
    <row r="350" ht="13.5" customHeight="1">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row>
    <row r="351" ht="13.5" customHeight="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row>
    <row r="352" ht="13.5" customHeight="1">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row>
    <row r="353" ht="13.5" customHeight="1">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row>
    <row r="354" ht="13.5" customHeight="1">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row>
    <row r="355" ht="13.5" customHeight="1">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row>
    <row r="356" ht="13.5" customHeight="1">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row>
    <row r="357" ht="13.5" customHeight="1">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row>
    <row r="358" ht="13.5" customHeight="1">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row>
    <row r="359" ht="13.5" customHeight="1">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row>
    <row r="360" ht="13.5" customHeight="1">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row>
    <row r="361" ht="13.5" customHeight="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row>
    <row r="362" ht="13.5" customHeight="1">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row>
    <row r="363" ht="13.5" customHeight="1">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row>
    <row r="364" ht="13.5" customHeight="1">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row>
    <row r="365" ht="13.5" customHeight="1">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row>
    <row r="366" ht="13.5" customHeight="1">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row>
    <row r="367" ht="13.5" customHeight="1">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row>
    <row r="368" ht="13.5" customHeight="1">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row>
    <row r="369" ht="13.5" customHeight="1">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row>
    <row r="370" ht="13.5" customHeight="1">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row>
    <row r="371" ht="13.5" customHeight="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row>
    <row r="372" ht="13.5" customHeight="1">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row>
    <row r="373" ht="13.5" customHeight="1">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row>
    <row r="374" ht="13.5" customHeight="1">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row>
    <row r="375" ht="13.5" customHeight="1">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row>
    <row r="376" ht="13.5" customHeight="1">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row>
    <row r="377" ht="13.5" customHeight="1">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row>
    <row r="378" ht="13.5" customHeight="1">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row>
    <row r="379" ht="13.5" customHeight="1">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row>
    <row r="380" ht="13.5" customHeight="1">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row>
    <row r="381" ht="13.5" customHeight="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row>
    <row r="382" ht="13.5" customHeight="1">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row>
    <row r="383" ht="13.5" customHeight="1">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row>
    <row r="384" ht="13.5" customHeight="1">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row>
    <row r="385" ht="13.5" customHeight="1">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row>
    <row r="386" ht="13.5" customHeight="1">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row>
    <row r="387" ht="13.5" customHeight="1">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row>
    <row r="388" ht="13.5" customHeight="1">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row>
    <row r="389" ht="13.5" customHeight="1">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row>
    <row r="390" ht="13.5" customHeight="1">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row>
    <row r="391" ht="13.5" customHeight="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row>
    <row r="392" ht="13.5" customHeight="1">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row>
    <row r="393" ht="13.5" customHeight="1">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row>
    <row r="394" ht="13.5" customHeight="1">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row>
    <row r="395" ht="13.5" customHeight="1">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row>
    <row r="396" ht="13.5" customHeight="1">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row>
    <row r="397" ht="13.5" customHeight="1">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row>
    <row r="398" ht="13.5" customHeight="1">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row>
    <row r="399" ht="13.5" customHeight="1">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row>
    <row r="400" ht="13.5" customHeight="1">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row>
    <row r="401" ht="13.5" customHeight="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row>
    <row r="402" ht="13.5" customHeight="1">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row>
    <row r="403" ht="13.5" customHeight="1">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row>
    <row r="404" ht="13.5" customHeight="1">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row>
    <row r="405" ht="13.5" customHeight="1">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row>
    <row r="406" ht="13.5" customHeight="1">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row>
    <row r="407" ht="13.5" customHeight="1">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row>
    <row r="408" ht="13.5" customHeight="1">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row>
    <row r="409" ht="13.5" customHeight="1">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row>
    <row r="410" ht="13.5" customHeight="1">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row>
    <row r="411" ht="13.5" customHeight="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row>
    <row r="412" ht="13.5" customHeight="1">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row>
    <row r="413" ht="13.5" customHeight="1">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row>
    <row r="414" ht="13.5" customHeight="1">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row>
    <row r="415" ht="13.5" customHeight="1">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row>
    <row r="416" ht="13.5" customHeight="1">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row>
    <row r="417" ht="13.5" customHeight="1">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row>
    <row r="418" ht="13.5" customHeight="1">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row>
    <row r="419" ht="13.5" customHeight="1">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row>
    <row r="420" ht="13.5" customHeight="1">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row>
    <row r="421" ht="13.5" customHeight="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row>
    <row r="422" ht="13.5" customHeight="1">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row>
    <row r="423" ht="13.5" customHeight="1">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row>
    <row r="424" ht="13.5" customHeight="1">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row>
    <row r="425" ht="13.5" customHeight="1">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row>
    <row r="426" ht="13.5" customHeight="1">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row>
    <row r="427" ht="13.5" customHeight="1">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row>
    <row r="428" ht="13.5" customHeight="1">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row>
    <row r="429" ht="13.5" customHeight="1">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row>
    <row r="430" ht="13.5" customHeight="1">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row>
    <row r="431" ht="13.5" customHeight="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row>
    <row r="432" ht="13.5" customHeight="1">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row>
    <row r="433" ht="13.5" customHeight="1">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row>
    <row r="434" ht="13.5" customHeight="1">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row>
    <row r="435" ht="13.5" customHeight="1">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row>
    <row r="436" ht="13.5" customHeight="1">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row>
    <row r="437" ht="13.5" customHeight="1">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row>
    <row r="438" ht="13.5" customHeight="1">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row>
    <row r="439" ht="13.5" customHeight="1">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row>
    <row r="440" ht="13.5" customHeight="1">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row>
    <row r="441" ht="13.5" customHeight="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row>
    <row r="442" ht="13.5" customHeight="1">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row>
    <row r="443" ht="13.5" customHeight="1">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row>
    <row r="444" ht="13.5" customHeight="1">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row>
    <row r="445" ht="13.5" customHeight="1">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row>
    <row r="446" ht="13.5" customHeight="1">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row>
    <row r="447" ht="13.5" customHeight="1">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row>
    <row r="448" ht="13.5" customHeight="1">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row>
    <row r="449" ht="13.5" customHeight="1">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row>
    <row r="450" ht="13.5" customHeight="1">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row>
    <row r="451" ht="13.5" customHeight="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row>
    <row r="452" ht="13.5" customHeight="1">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row>
    <row r="453" ht="13.5" customHeight="1">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row>
    <row r="454" ht="13.5" customHeight="1">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row>
    <row r="455" ht="13.5" customHeight="1">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row>
    <row r="456" ht="13.5" customHeight="1">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row>
    <row r="457" ht="13.5" customHeight="1">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row>
    <row r="458" ht="13.5" customHeight="1">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row>
    <row r="459" ht="13.5" customHeight="1">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row>
    <row r="460" ht="13.5" customHeight="1">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row>
    <row r="461" ht="13.5" customHeight="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row>
    <row r="462" ht="13.5" customHeight="1">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row>
    <row r="463" ht="13.5" customHeight="1">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row>
    <row r="464" ht="13.5" customHeight="1">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row>
    <row r="465" ht="13.5" customHeight="1">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row>
    <row r="466" ht="13.5" customHeight="1">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row>
    <row r="467" ht="13.5" customHeight="1">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row>
    <row r="468" ht="13.5" customHeight="1">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row>
    <row r="469" ht="13.5" customHeight="1">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row>
    <row r="470" ht="13.5" customHeight="1">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row>
    <row r="471" ht="13.5" customHeight="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row>
    <row r="472" ht="13.5" customHeight="1">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row>
    <row r="473" ht="13.5" customHeight="1">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row>
    <row r="474" ht="13.5" customHeight="1">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row>
    <row r="475" ht="13.5" customHeight="1">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row>
    <row r="476" ht="13.5" customHeight="1">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row>
    <row r="477" ht="13.5" customHeight="1">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row>
    <row r="478" ht="13.5" customHeight="1">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row>
    <row r="479" ht="13.5" customHeight="1">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row>
    <row r="480" ht="13.5" customHeight="1">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row>
    <row r="481" ht="13.5" customHeight="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row>
    <row r="482" ht="13.5" customHeight="1">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row>
    <row r="483" ht="13.5" customHeight="1">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row>
    <row r="484" ht="13.5" customHeight="1">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row>
    <row r="485" ht="13.5" customHeight="1">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row>
    <row r="486" ht="13.5" customHeight="1">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row>
    <row r="487" ht="13.5" customHeight="1">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row>
    <row r="488" ht="13.5" customHeight="1">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row>
    <row r="489" ht="13.5" customHeight="1">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row>
    <row r="490" ht="13.5" customHeight="1">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row>
    <row r="491" ht="13.5" customHeight="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row>
    <row r="492" ht="13.5" customHeight="1">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row>
    <row r="493" ht="13.5" customHeight="1">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row>
    <row r="494" ht="13.5" customHeight="1">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row>
    <row r="495" ht="13.5" customHeight="1">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row>
    <row r="496" ht="13.5" customHeight="1">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row>
    <row r="497" ht="13.5" customHeight="1">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row>
    <row r="498" ht="13.5" customHeight="1">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row>
    <row r="499" ht="13.5" customHeight="1">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row>
    <row r="500" ht="13.5" customHeight="1">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row>
    <row r="501" ht="13.5" customHeight="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row>
    <row r="502" ht="13.5" customHeight="1">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row>
    <row r="503" ht="13.5" customHeight="1">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row>
    <row r="504" ht="13.5" customHeight="1">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row>
    <row r="505" ht="13.5" customHeight="1">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row>
    <row r="506" ht="13.5" customHeight="1">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row>
    <row r="507" ht="13.5" customHeight="1">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row>
    <row r="508" ht="13.5" customHeight="1">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row>
    <row r="509" ht="13.5" customHeight="1">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row>
    <row r="510" ht="13.5" customHeight="1">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row>
    <row r="511" ht="13.5" customHeight="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row>
    <row r="512" ht="13.5" customHeight="1">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row>
    <row r="513" ht="13.5" customHeight="1">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row>
    <row r="514" ht="13.5" customHeight="1">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row>
    <row r="515" ht="13.5" customHeight="1">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row>
    <row r="516" ht="13.5" customHeight="1">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row>
    <row r="517" ht="13.5" customHeight="1">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row>
    <row r="518" ht="13.5" customHeight="1">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row>
    <row r="519" ht="13.5" customHeight="1">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row>
    <row r="520" ht="13.5" customHeight="1">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row>
    <row r="521" ht="13.5" customHeight="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row>
    <row r="522" ht="13.5" customHeight="1">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row>
    <row r="523" ht="13.5" customHeight="1">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row>
    <row r="524" ht="13.5" customHeight="1">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row>
    <row r="525" ht="13.5" customHeight="1">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row>
    <row r="526" ht="13.5" customHeight="1">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row>
    <row r="527" ht="13.5" customHeight="1">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row>
    <row r="528" ht="13.5" customHeight="1">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row>
    <row r="529" ht="13.5" customHeight="1">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row>
    <row r="530" ht="13.5" customHeight="1">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row>
    <row r="531" ht="13.5" customHeight="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row>
    <row r="532" ht="13.5" customHeight="1">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row>
    <row r="533" ht="13.5" customHeight="1">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row>
    <row r="534" ht="13.5" customHeight="1">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row>
    <row r="535" ht="13.5" customHeight="1">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row>
    <row r="536" ht="13.5" customHeight="1">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row>
    <row r="537" ht="13.5" customHeight="1">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row>
    <row r="538" ht="13.5" customHeight="1">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row>
    <row r="539" ht="13.5" customHeight="1">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row>
    <row r="540" ht="13.5" customHeight="1">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row>
    <row r="541" ht="13.5" customHeight="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row>
    <row r="542" ht="13.5" customHeight="1">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row>
    <row r="543" ht="13.5" customHeight="1">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row>
    <row r="544" ht="13.5" customHeight="1">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row>
    <row r="545" ht="13.5" customHeight="1">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row>
    <row r="546" ht="13.5" customHeight="1">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row>
    <row r="547" ht="13.5" customHeight="1">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row>
    <row r="548" ht="13.5" customHeight="1">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row>
    <row r="549" ht="13.5" customHeight="1">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row>
    <row r="550" ht="13.5" customHeight="1">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row>
    <row r="551" ht="13.5" customHeight="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row>
    <row r="552" ht="13.5" customHeight="1">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row>
    <row r="553" ht="13.5" customHeight="1">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row>
    <row r="554" ht="13.5" customHeight="1">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row>
    <row r="555" ht="13.5" customHeight="1">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row>
    <row r="556" ht="13.5" customHeight="1">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row>
    <row r="557" ht="13.5" customHeight="1">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row>
    <row r="558" ht="13.5" customHeight="1">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row>
    <row r="559" ht="13.5" customHeight="1">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row>
    <row r="560" ht="13.5" customHeight="1">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row>
    <row r="561" ht="13.5" customHeight="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row>
    <row r="562" ht="13.5" customHeight="1">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row>
    <row r="563" ht="13.5" customHeight="1">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row>
    <row r="564" ht="13.5" customHeight="1">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row>
    <row r="565" ht="13.5" customHeight="1">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row>
    <row r="566" ht="13.5" customHeight="1">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row>
    <row r="567" ht="13.5" customHeight="1">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row>
    <row r="568" ht="13.5" customHeight="1">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row>
    <row r="569" ht="13.5" customHeight="1">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row>
    <row r="570" ht="13.5" customHeight="1">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row>
    <row r="571" ht="13.5" customHeight="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row>
    <row r="572" ht="13.5" customHeight="1">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row>
    <row r="573" ht="13.5" customHeight="1">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row>
    <row r="574" ht="13.5" customHeight="1">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row>
    <row r="575" ht="13.5" customHeight="1">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row>
    <row r="576" ht="13.5" customHeight="1">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row>
    <row r="577" ht="13.5" customHeight="1">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row>
    <row r="578" ht="13.5" customHeight="1">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row>
    <row r="579" ht="13.5" customHeight="1">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row>
    <row r="580" ht="13.5" customHeight="1">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row>
    <row r="581" ht="13.5" customHeight="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row>
    <row r="582" ht="13.5" customHeight="1">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row>
    <row r="583" ht="13.5" customHeight="1">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row>
    <row r="584" ht="13.5" customHeight="1">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row>
    <row r="585" ht="13.5" customHeight="1">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row>
    <row r="586" ht="13.5" customHeight="1">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row>
    <row r="587" ht="13.5" customHeight="1">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row>
    <row r="588" ht="13.5" customHeight="1">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row>
    <row r="589" ht="13.5" customHeight="1">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row>
    <row r="590" ht="13.5" customHeight="1">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row>
    <row r="591" ht="13.5" customHeight="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row>
    <row r="592" ht="13.5" customHeight="1">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row>
    <row r="593" ht="13.5" customHeight="1">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row>
    <row r="594" ht="13.5" customHeight="1">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row>
    <row r="595" ht="13.5" customHeight="1">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row>
    <row r="596" ht="13.5" customHeight="1">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row>
    <row r="597" ht="13.5" customHeight="1">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row>
    <row r="598" ht="13.5" customHeight="1">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row>
    <row r="599" ht="13.5" customHeight="1">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row>
    <row r="600" ht="13.5" customHeight="1">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row>
    <row r="601" ht="13.5" customHeight="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row>
    <row r="602" ht="13.5" customHeight="1">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row>
    <row r="603" ht="13.5" customHeight="1">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row>
    <row r="604" ht="13.5" customHeight="1">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row>
    <row r="605" ht="13.5" customHeight="1">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row>
    <row r="606" ht="13.5" customHeight="1">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row>
    <row r="607" ht="13.5" customHeight="1">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row>
    <row r="608" ht="13.5" customHeight="1">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row>
    <row r="609" ht="13.5" customHeight="1">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row>
    <row r="610" ht="13.5" customHeight="1">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row>
    <row r="611" ht="13.5" customHeight="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row>
    <row r="612" ht="13.5" customHeight="1">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row>
    <row r="613" ht="13.5" customHeight="1">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row>
    <row r="614" ht="13.5" customHeight="1">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row>
    <row r="615" ht="13.5" customHeight="1">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row>
    <row r="616" ht="13.5" customHeight="1">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row>
    <row r="617" ht="13.5" customHeight="1">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row>
    <row r="618" ht="13.5" customHeight="1">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row>
    <row r="619" ht="13.5" customHeight="1">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row>
    <row r="620" ht="13.5" customHeight="1">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row>
    <row r="621" ht="13.5" customHeight="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row>
    <row r="622" ht="13.5" customHeight="1">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row>
    <row r="623" ht="13.5" customHeight="1">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row>
    <row r="624" ht="13.5" customHeight="1">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row>
    <row r="625" ht="13.5" customHeight="1">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row>
    <row r="626" ht="13.5" customHeight="1">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row>
    <row r="627" ht="13.5" customHeight="1">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row>
    <row r="628" ht="13.5" customHeight="1">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row>
    <row r="629" ht="13.5" customHeight="1">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row>
    <row r="630" ht="13.5" customHeight="1">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row>
    <row r="631" ht="13.5" customHeight="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row>
    <row r="632" ht="13.5" customHeight="1">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row>
    <row r="633" ht="13.5" customHeight="1">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row>
    <row r="634" ht="13.5" customHeight="1">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row>
    <row r="635" ht="13.5" customHeight="1">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row>
    <row r="636" ht="13.5" customHeight="1">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row>
    <row r="637" ht="13.5" customHeight="1">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row>
    <row r="638" ht="13.5" customHeight="1">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row>
    <row r="639" ht="13.5" customHeight="1">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row>
    <row r="640" ht="13.5" customHeight="1">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row>
    <row r="641" ht="13.5" customHeight="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row>
    <row r="642" ht="13.5" customHeight="1">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row>
    <row r="643" ht="13.5" customHeight="1">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row>
    <row r="644" ht="13.5" customHeight="1">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row>
    <row r="645" ht="13.5" customHeight="1">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row>
    <row r="646" ht="13.5" customHeight="1">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row>
    <row r="647" ht="13.5" customHeight="1">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row>
    <row r="648" ht="13.5" customHeight="1">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row>
    <row r="649" ht="13.5" customHeight="1">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row>
    <row r="650" ht="13.5" customHeight="1">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row>
    <row r="651" ht="13.5" customHeight="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row>
    <row r="652" ht="13.5" customHeight="1">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row>
    <row r="653" ht="13.5" customHeight="1">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row>
    <row r="654" ht="13.5" customHeight="1">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row>
    <row r="655" ht="13.5" customHeight="1">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row>
    <row r="656" ht="13.5" customHeight="1">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row>
    <row r="657" ht="13.5" customHeight="1">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row>
    <row r="658" ht="13.5" customHeight="1">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row>
    <row r="659" ht="13.5" customHeight="1">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row>
    <row r="660" ht="13.5" customHeight="1">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row>
    <row r="661" ht="13.5" customHeight="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row>
    <row r="662" ht="13.5" customHeight="1">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row>
    <row r="663" ht="13.5" customHeight="1">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row>
    <row r="664" ht="13.5" customHeight="1">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row>
    <row r="665" ht="13.5" customHeight="1">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row>
    <row r="666" ht="13.5" customHeight="1">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row>
    <row r="667" ht="13.5" customHeight="1">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row>
    <row r="668" ht="13.5" customHeight="1">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row>
    <row r="669" ht="13.5" customHeight="1">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row>
    <row r="670" ht="13.5" customHeight="1">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row>
    <row r="671" ht="13.5" customHeight="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row>
    <row r="672" ht="13.5" customHeight="1">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row>
    <row r="673" ht="13.5" customHeight="1">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row>
    <row r="674" ht="13.5" customHeight="1">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row>
    <row r="675" ht="13.5" customHeight="1">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row>
    <row r="676" ht="13.5" customHeight="1">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row>
    <row r="677" ht="13.5" customHeight="1">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row>
    <row r="678" ht="13.5" customHeight="1">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row>
    <row r="679" ht="13.5" customHeight="1">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row>
    <row r="680" ht="13.5" customHeight="1">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row>
    <row r="681" ht="13.5" customHeight="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row>
    <row r="682" ht="13.5" customHeight="1">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row>
    <row r="683" ht="13.5" customHeight="1">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row>
    <row r="684" ht="13.5" customHeight="1">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row>
    <row r="685" ht="13.5" customHeight="1">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row>
    <row r="686" ht="13.5" customHeight="1">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row>
    <row r="687" ht="13.5" customHeight="1">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row>
    <row r="688" ht="13.5" customHeight="1">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row>
    <row r="689" ht="13.5" customHeight="1">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row>
    <row r="690" ht="13.5" customHeight="1">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row>
    <row r="691" ht="13.5" customHeight="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row>
    <row r="692" ht="13.5" customHeight="1">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row>
    <row r="693" ht="13.5" customHeight="1">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row>
    <row r="694" ht="13.5" customHeight="1">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row>
    <row r="695" ht="13.5" customHeight="1">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row>
    <row r="696" ht="13.5" customHeight="1">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row>
    <row r="697" ht="13.5" customHeight="1">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row>
    <row r="698" ht="13.5" customHeight="1">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row>
    <row r="699" ht="13.5" customHeight="1">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row>
    <row r="700" ht="13.5" customHeight="1">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row>
    <row r="701" ht="13.5" customHeight="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row>
    <row r="702" ht="13.5" customHeight="1">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row>
    <row r="703" ht="13.5" customHeight="1">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row>
    <row r="704" ht="13.5" customHeight="1">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row>
    <row r="705" ht="13.5" customHeight="1">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row>
    <row r="706" ht="13.5" customHeight="1">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row>
    <row r="707" ht="13.5" customHeight="1">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row>
    <row r="708" ht="13.5" customHeight="1">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row>
    <row r="709" ht="13.5" customHeight="1">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row>
    <row r="710" ht="13.5" customHeight="1">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row>
    <row r="711" ht="13.5" customHeight="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row>
    <row r="712" ht="13.5" customHeight="1">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row>
    <row r="713" ht="13.5" customHeight="1">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row>
    <row r="714" ht="13.5" customHeight="1">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row>
    <row r="715" ht="13.5" customHeight="1">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row>
    <row r="716" ht="13.5" customHeight="1">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row>
    <row r="717" ht="13.5" customHeight="1">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row>
    <row r="718" ht="13.5" customHeight="1">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row>
    <row r="719" ht="13.5" customHeight="1">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row>
    <row r="720" ht="13.5" customHeight="1">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row>
    <row r="721" ht="13.5" customHeight="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row>
    <row r="722" ht="13.5" customHeight="1">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row>
    <row r="723" ht="13.5" customHeight="1">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row>
    <row r="724" ht="13.5" customHeight="1">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row>
    <row r="725" ht="13.5" customHeight="1">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row>
    <row r="726" ht="13.5" customHeight="1">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row>
    <row r="727" ht="13.5" customHeight="1">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row>
    <row r="728" ht="13.5" customHeight="1">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row>
    <row r="729" ht="13.5" customHeight="1">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row>
    <row r="730" ht="13.5" customHeight="1">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row>
    <row r="731" ht="13.5" customHeight="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row>
    <row r="732" ht="13.5" customHeight="1">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row>
    <row r="733" ht="13.5" customHeight="1">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row>
    <row r="734" ht="13.5" customHeight="1">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row>
    <row r="735" ht="13.5" customHeight="1">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row>
    <row r="736" ht="13.5" customHeight="1">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row>
    <row r="737" ht="13.5" customHeight="1">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row>
    <row r="738" ht="13.5" customHeight="1">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row>
    <row r="739" ht="13.5" customHeight="1">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row>
    <row r="740" ht="13.5" customHeight="1">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row>
    <row r="741" ht="13.5" customHeight="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row>
    <row r="742" ht="13.5" customHeight="1">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row>
    <row r="743" ht="13.5" customHeight="1">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row>
    <row r="744" ht="13.5" customHeight="1">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row>
    <row r="745" ht="13.5" customHeight="1">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row>
    <row r="746" ht="13.5" customHeight="1">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row>
    <row r="747" ht="13.5" customHeight="1">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row>
    <row r="748" ht="13.5" customHeight="1">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row>
    <row r="749" ht="13.5" customHeight="1">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row>
    <row r="750" ht="13.5" customHeight="1">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row>
    <row r="751" ht="13.5" customHeight="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row>
    <row r="752" ht="13.5" customHeight="1">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row>
    <row r="753" ht="13.5" customHeight="1">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row>
    <row r="754" ht="13.5" customHeight="1">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row>
    <row r="755" ht="13.5" customHeight="1">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row>
    <row r="756" ht="13.5" customHeight="1">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row>
    <row r="757" ht="13.5" customHeight="1">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row>
    <row r="758" ht="13.5" customHeight="1">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row>
    <row r="759" ht="13.5" customHeight="1">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row>
    <row r="760" ht="13.5" customHeight="1">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row>
    <row r="761" ht="13.5" customHeight="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row>
    <row r="762" ht="13.5" customHeight="1">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row>
    <row r="763" ht="13.5" customHeight="1">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row>
    <row r="764" ht="13.5" customHeight="1">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row>
    <row r="765" ht="13.5" customHeight="1">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row>
    <row r="766" ht="13.5" customHeight="1">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row>
    <row r="767" ht="13.5" customHeight="1">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row>
    <row r="768" ht="13.5" customHeight="1">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row>
    <row r="769" ht="13.5" customHeight="1">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row>
    <row r="770" ht="13.5" customHeight="1">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row>
    <row r="771" ht="13.5" customHeight="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row>
    <row r="772" ht="13.5" customHeight="1">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row>
    <row r="773" ht="13.5" customHeight="1">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row>
    <row r="774" ht="13.5" customHeight="1">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row>
    <row r="775" ht="13.5" customHeight="1">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row>
    <row r="776" ht="13.5" customHeight="1">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row>
    <row r="777" ht="13.5" customHeight="1">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row>
    <row r="778" ht="13.5" customHeight="1">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row>
    <row r="779" ht="13.5" customHeight="1">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row>
    <row r="780" ht="13.5" customHeight="1">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row>
    <row r="781" ht="13.5" customHeight="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row>
    <row r="782" ht="13.5" customHeight="1">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row>
    <row r="783" ht="13.5" customHeight="1">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row>
    <row r="784" ht="13.5" customHeight="1">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row>
    <row r="785" ht="13.5" customHeight="1">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row>
    <row r="786" ht="13.5" customHeight="1">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row>
    <row r="787" ht="13.5" customHeight="1">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row>
    <row r="788" ht="13.5" customHeight="1">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row>
    <row r="789" ht="13.5" customHeight="1">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row>
    <row r="790" ht="13.5" customHeight="1">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row>
    <row r="791" ht="13.5" customHeight="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row>
    <row r="792" ht="13.5" customHeight="1">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row>
    <row r="793" ht="13.5" customHeight="1">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row>
    <row r="794" ht="13.5" customHeight="1">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row>
    <row r="795" ht="13.5" customHeight="1">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row>
    <row r="796" ht="13.5" customHeight="1">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row>
    <row r="797" ht="13.5" customHeight="1">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row>
    <row r="798" ht="13.5" customHeight="1">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row>
    <row r="799" ht="13.5" customHeight="1">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row>
    <row r="800" ht="13.5" customHeight="1">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row>
    <row r="801" ht="13.5" customHeight="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row>
    <row r="802" ht="13.5" customHeight="1">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row>
    <row r="803" ht="13.5" customHeight="1">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row>
    <row r="804" ht="13.5" customHeight="1">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row>
    <row r="805" ht="13.5" customHeight="1">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row>
    <row r="806" ht="13.5" customHeight="1">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row>
    <row r="807" ht="13.5" customHeight="1">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row>
    <row r="808" ht="13.5" customHeight="1">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row>
    <row r="809" ht="13.5" customHeight="1">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row>
    <row r="810" ht="13.5" customHeight="1">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row>
    <row r="811" ht="13.5" customHeight="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row>
    <row r="812" ht="13.5" customHeight="1">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row>
    <row r="813" ht="13.5" customHeight="1">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row>
    <row r="814" ht="13.5" customHeight="1">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row>
    <row r="815" ht="13.5" customHeight="1">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row>
    <row r="816" ht="13.5" customHeight="1">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row>
    <row r="817" ht="13.5" customHeight="1">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row>
    <row r="818" ht="13.5" customHeight="1">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row>
    <row r="819" ht="13.5" customHeight="1">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row>
    <row r="820" ht="13.5" customHeight="1">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row>
    <row r="821" ht="13.5" customHeight="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row>
    <row r="822" ht="13.5" customHeight="1">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row>
    <row r="823" ht="13.5" customHeight="1">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row>
    <row r="824" ht="13.5" customHeight="1">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row>
    <row r="825" ht="13.5" customHeight="1">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row>
    <row r="826" ht="13.5" customHeight="1">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row>
    <row r="827" ht="13.5" customHeight="1">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row>
    <row r="828" ht="13.5" customHeight="1">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row>
    <row r="829" ht="13.5" customHeight="1">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row>
    <row r="830" ht="13.5" customHeight="1">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row>
    <row r="831" ht="13.5" customHeight="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row>
    <row r="832" ht="13.5" customHeight="1">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row>
    <row r="833" ht="13.5" customHeight="1">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row>
    <row r="834" ht="13.5" customHeight="1">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row>
    <row r="835" ht="13.5" customHeight="1">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row>
    <row r="836" ht="13.5" customHeight="1">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row>
    <row r="837" ht="13.5" customHeight="1">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row>
    <row r="838" ht="13.5" customHeight="1">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row>
    <row r="839" ht="13.5" customHeight="1">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row>
    <row r="840" ht="13.5" customHeight="1">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row>
    <row r="841" ht="13.5" customHeight="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row>
    <row r="842" ht="13.5" customHeight="1">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row>
    <row r="843" ht="13.5" customHeight="1">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row>
    <row r="844" ht="13.5" customHeight="1">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row>
    <row r="845" ht="13.5" customHeight="1">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row>
    <row r="846" ht="13.5" customHeight="1">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row>
    <row r="847" ht="13.5" customHeight="1">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row>
    <row r="848" ht="13.5" customHeight="1">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row>
    <row r="849" ht="13.5" customHeight="1">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row>
    <row r="850" ht="13.5" customHeight="1">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row>
    <row r="851" ht="13.5" customHeight="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row>
    <row r="852" ht="13.5" customHeight="1">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row>
    <row r="853" ht="13.5" customHeight="1">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row>
    <row r="854" ht="13.5" customHeight="1">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row>
    <row r="855" ht="13.5" customHeight="1">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row>
    <row r="856" ht="13.5" customHeight="1">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row>
    <row r="857" ht="13.5" customHeight="1">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row>
    <row r="858" ht="13.5" customHeight="1">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row>
    <row r="859" ht="13.5" customHeight="1">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row>
    <row r="860" ht="13.5" customHeight="1">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row>
    <row r="861" ht="13.5" customHeight="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row>
    <row r="862" ht="13.5" customHeight="1">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row>
    <row r="863" ht="13.5" customHeight="1">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row>
    <row r="864" ht="13.5" customHeight="1">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row>
    <row r="865" ht="13.5" customHeight="1">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row>
    <row r="866" ht="13.5" customHeight="1">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row>
    <row r="867" ht="13.5" customHeight="1">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row>
    <row r="868" ht="13.5" customHeight="1">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row>
    <row r="869" ht="13.5" customHeight="1">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row>
    <row r="870" ht="13.5" customHeight="1">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row>
    <row r="871" ht="13.5" customHeight="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row>
    <row r="872" ht="13.5" customHeight="1">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row>
    <row r="873" ht="13.5" customHeight="1">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row>
    <row r="874" ht="13.5" customHeight="1">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row>
    <row r="875" ht="13.5" customHeight="1">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row>
    <row r="876" ht="13.5" customHeight="1">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row>
    <row r="877" ht="13.5" customHeight="1">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row>
    <row r="878" ht="13.5" customHeight="1">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row>
    <row r="879" ht="13.5" customHeight="1">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row>
    <row r="880" ht="13.5" customHeight="1">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row>
    <row r="881" ht="13.5" customHeight="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row>
    <row r="882" ht="13.5" customHeight="1">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row>
    <row r="883" ht="13.5" customHeight="1">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row>
    <row r="884" ht="13.5" customHeight="1">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row>
    <row r="885" ht="13.5" customHeight="1">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row>
    <row r="886" ht="13.5" customHeight="1">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row>
    <row r="887" ht="13.5" customHeight="1">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row>
    <row r="888" ht="13.5" customHeight="1">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row>
    <row r="889" ht="13.5" customHeight="1">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row>
    <row r="890" ht="13.5" customHeight="1">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row>
    <row r="891" ht="13.5" customHeight="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row>
    <row r="892" ht="13.5" customHeight="1">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row>
    <row r="893" ht="13.5" customHeight="1">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row>
    <row r="894" ht="13.5" customHeight="1">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row>
    <row r="895" ht="13.5" customHeight="1">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row>
    <row r="896" ht="13.5" customHeight="1">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row>
    <row r="897" ht="13.5" customHeight="1">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row>
    <row r="898" ht="13.5" customHeight="1">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row>
    <row r="899" ht="13.5" customHeight="1">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row>
    <row r="900" ht="13.5" customHeight="1">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row>
    <row r="901" ht="13.5" customHeight="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row>
    <row r="902" ht="13.5" customHeight="1">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row>
    <row r="903" ht="13.5" customHeight="1">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row>
    <row r="904" ht="13.5" customHeight="1">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row>
    <row r="905" ht="13.5" customHeight="1">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row>
    <row r="906" ht="13.5" customHeight="1">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row>
    <row r="907" ht="13.5" customHeight="1">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row>
    <row r="908" ht="13.5" customHeight="1">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row>
    <row r="909" ht="13.5" customHeight="1">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row>
    <row r="910" ht="13.5" customHeight="1">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row>
    <row r="911" ht="13.5" customHeight="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row>
    <row r="912" ht="13.5" customHeight="1">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row>
    <row r="913" ht="13.5" customHeight="1">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row>
    <row r="914" ht="13.5" customHeight="1">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row>
    <row r="915" ht="13.5" customHeight="1">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row>
    <row r="916" ht="13.5" customHeight="1">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row>
    <row r="917" ht="13.5" customHeight="1">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row>
    <row r="918" ht="13.5" customHeight="1">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row>
    <row r="919" ht="13.5" customHeight="1">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row>
    <row r="920" ht="13.5" customHeight="1">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row>
    <row r="921" ht="13.5" customHeight="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row>
    <row r="922" ht="13.5" customHeight="1">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row>
    <row r="923" ht="13.5" customHeight="1">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row>
    <row r="924" ht="13.5" customHeight="1">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row>
    <row r="925" ht="13.5" customHeight="1">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row>
    <row r="926" ht="13.5" customHeight="1">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row>
    <row r="927" ht="13.5" customHeight="1">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row>
    <row r="928" ht="13.5" customHeight="1">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row>
    <row r="929" ht="13.5" customHeight="1">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row>
    <row r="930" ht="13.5" customHeight="1">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row>
    <row r="931" ht="13.5" customHeight="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row>
    <row r="932" ht="13.5" customHeight="1">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row>
    <row r="933" ht="13.5" customHeight="1">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row>
    <row r="934" ht="13.5" customHeight="1">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row>
    <row r="935" ht="13.5" customHeight="1">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row>
    <row r="936" ht="13.5" customHeight="1">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row>
    <row r="937" ht="13.5" customHeight="1">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row>
    <row r="938" ht="13.5" customHeight="1">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row>
    <row r="939" ht="13.5" customHeight="1">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row>
    <row r="940" ht="13.5" customHeight="1">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row>
    <row r="941" ht="13.5" customHeight="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row>
    <row r="942" ht="13.5" customHeight="1">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row>
    <row r="943" ht="13.5" customHeight="1">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row>
    <row r="944" ht="13.5" customHeight="1">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row>
    <row r="945" ht="13.5" customHeight="1">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row>
    <row r="946" ht="13.5" customHeight="1">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row>
    <row r="947" ht="13.5" customHeight="1">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row>
    <row r="948" ht="13.5" customHeight="1">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row>
    <row r="949" ht="13.5" customHeight="1">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row>
    <row r="950" ht="13.5" customHeight="1">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row>
    <row r="951" ht="13.5" customHeight="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row>
    <row r="952" ht="13.5" customHeight="1">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row>
    <row r="953" ht="13.5" customHeight="1">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row>
    <row r="954" ht="13.5" customHeight="1">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row>
    <row r="955" ht="13.5" customHeight="1">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row>
    <row r="956" ht="13.5" customHeight="1">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row>
    <row r="957" ht="13.5" customHeight="1">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row>
    <row r="958" ht="13.5" customHeight="1">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row>
    <row r="959" ht="13.5" customHeight="1">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row>
    <row r="960" ht="13.5" customHeight="1">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row>
    <row r="961" ht="13.5" customHeight="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row>
    <row r="962" ht="13.5" customHeight="1">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row>
    <row r="963" ht="13.5" customHeight="1">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row>
    <row r="964" ht="13.5" customHeight="1">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row>
    <row r="965" ht="13.5" customHeight="1">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row>
    <row r="966" ht="13.5" customHeight="1">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row>
    <row r="967" ht="13.5" customHeight="1">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row>
    <row r="968" ht="13.5" customHeight="1">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row>
    <row r="969" ht="13.5" customHeight="1">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row>
    <row r="970" ht="13.5" customHeight="1">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row>
    <row r="971" ht="13.5" customHeight="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row>
    <row r="972" ht="13.5" customHeight="1">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row>
    <row r="973" ht="13.5" customHeight="1">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row>
    <row r="974" ht="13.5" customHeight="1">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row>
    <row r="975" ht="13.5" customHeight="1">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row>
    <row r="976" ht="13.5" customHeight="1">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row>
    <row r="977" ht="13.5" customHeight="1">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row>
    <row r="978" ht="13.5" customHeight="1">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row>
    <row r="979" ht="13.5" customHeight="1">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row>
    <row r="980" ht="13.5" customHeight="1">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row>
    <row r="981" ht="13.5" customHeight="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row>
    <row r="982" ht="13.5" customHeight="1">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row>
    <row r="983" ht="13.5" customHeight="1">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row>
    <row r="984" ht="13.5" customHeight="1">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row>
    <row r="985" ht="13.5" customHeight="1">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row>
    <row r="986" ht="13.5" customHeight="1">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row>
    <row r="987" ht="13.5" customHeight="1">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row>
    <row r="988" ht="13.5" customHeight="1">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row>
    <row r="989" ht="13.5" customHeight="1">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row>
    <row r="990" ht="13.5" customHeight="1">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row>
    <row r="991" ht="13.5" customHeight="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row>
    <row r="992" ht="13.5" customHeight="1">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row>
    <row r="993" ht="13.5" customHeight="1">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row>
    <row r="994" ht="13.5" customHeight="1">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row>
    <row r="995" ht="13.5" customHeight="1">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row>
    <row r="996" ht="13.5" customHeight="1">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row>
    <row r="997" ht="13.5" customHeight="1">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row>
    <row r="998" ht="13.5" customHeight="1">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row>
    <row r="999" ht="13.5" customHeight="1">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row>
    <row r="1000" ht="13.5" customHeight="1">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row>
  </sheetData>
  <mergeCells count="4">
    <mergeCell ref="E2:J4"/>
    <mergeCell ref="W4:Z5"/>
    <mergeCell ref="O9:O10"/>
    <mergeCell ref="O12:O13"/>
  </mergeCells>
  <printOptions/>
  <pageMargins bottom="0.75" footer="0.0" header="0.0" left="0.7" right="0.7" top="0.75"/>
  <pageSetup orientation="landscape"/>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13.86"/>
    <col customWidth="1" min="4" max="4" width="26.86"/>
    <col customWidth="1" min="5" max="5" width="15.86"/>
    <col customWidth="1" min="6" max="6" width="20.71"/>
    <col customWidth="1" min="7" max="7" width="32.71"/>
    <col customWidth="1" min="8" max="8" width="29.43"/>
    <col customWidth="1" min="9" max="9" width="24.0"/>
    <col customWidth="1" min="10" max="10" width="14.57"/>
    <col customWidth="1" min="11" max="13" width="8.86"/>
    <col customWidth="1" min="14" max="14" width="34.0"/>
    <col customWidth="1" min="15" max="15" width="26.86"/>
    <col customWidth="1" min="16" max="16" width="26.57"/>
    <col customWidth="1" min="17" max="17" width="15.86"/>
    <col customWidth="1" min="18" max="23" width="8.86"/>
    <col customWidth="1" min="24" max="24" width="14.0"/>
    <col customWidth="1" min="25" max="25" width="17.86"/>
    <col customWidth="1" min="26" max="26" width="15.57"/>
    <col customWidth="1" min="27" max="29" width="8.86"/>
  </cols>
  <sheetData>
    <row r="1" ht="13.5" customHeight="1">
      <c r="A1" s="124"/>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c r="AC1" s="124"/>
    </row>
    <row r="2" ht="13.5" customHeight="1">
      <c r="A2" s="124"/>
      <c r="B2" s="124"/>
      <c r="C2" s="124"/>
      <c r="D2" s="124"/>
      <c r="E2" s="150" t="s">
        <v>945</v>
      </c>
      <c r="F2" s="79"/>
      <c r="G2" s="79"/>
      <c r="H2" s="79"/>
      <c r="I2" s="79"/>
      <c r="J2" s="80"/>
      <c r="K2" s="124"/>
      <c r="L2" s="124"/>
      <c r="M2" s="124"/>
      <c r="N2" s="124"/>
      <c r="O2" s="124"/>
      <c r="P2" s="124"/>
      <c r="Q2" s="124"/>
      <c r="R2" s="124"/>
      <c r="S2" s="124"/>
      <c r="T2" s="124"/>
      <c r="U2" s="124"/>
      <c r="V2" s="124"/>
      <c r="W2" s="124"/>
      <c r="X2" s="124"/>
      <c r="Y2" s="124"/>
      <c r="Z2" s="124"/>
      <c r="AA2" s="124"/>
      <c r="AB2" s="124"/>
      <c r="AC2" s="124"/>
    </row>
    <row r="3" ht="13.5" customHeight="1">
      <c r="A3" s="124"/>
      <c r="B3" s="124"/>
      <c r="C3" s="124"/>
      <c r="D3" s="124"/>
      <c r="E3" s="81"/>
      <c r="J3" s="82"/>
      <c r="K3" s="124"/>
      <c r="L3" s="124"/>
      <c r="M3" s="124"/>
      <c r="N3" s="124"/>
      <c r="O3" s="124"/>
      <c r="P3" s="124"/>
      <c r="Q3" s="124"/>
      <c r="R3" s="124"/>
      <c r="S3" s="124"/>
      <c r="T3" s="124"/>
      <c r="U3" s="124"/>
      <c r="V3" s="124"/>
      <c r="W3" s="124"/>
      <c r="X3" s="124"/>
      <c r="Y3" s="124"/>
      <c r="Z3" s="124"/>
      <c r="AA3" s="124"/>
      <c r="AB3" s="124"/>
      <c r="AC3" s="124"/>
    </row>
    <row r="4" ht="13.5" customHeight="1">
      <c r="A4" s="124"/>
      <c r="B4" s="124"/>
      <c r="C4" s="124"/>
      <c r="D4" s="124"/>
      <c r="E4" s="83"/>
      <c r="F4" s="84"/>
      <c r="G4" s="84"/>
      <c r="H4" s="84"/>
      <c r="I4" s="84"/>
      <c r="J4" s="85"/>
      <c r="K4" s="124"/>
      <c r="L4" s="124"/>
      <c r="M4" s="124"/>
      <c r="N4" s="124"/>
      <c r="O4" s="124"/>
      <c r="P4" s="124"/>
      <c r="Q4" s="124"/>
      <c r="R4" s="124"/>
      <c r="S4" s="124"/>
      <c r="T4" s="124"/>
      <c r="U4" s="124"/>
      <c r="V4" s="124"/>
      <c r="W4" s="86" t="s">
        <v>615</v>
      </c>
      <c r="X4" s="79"/>
      <c r="Y4" s="79"/>
      <c r="Z4" s="80"/>
      <c r="AA4" s="124"/>
      <c r="AB4" s="124"/>
      <c r="AC4" s="124"/>
    </row>
    <row r="5" ht="13.5" customHeight="1">
      <c r="A5" s="124"/>
      <c r="B5" s="124"/>
      <c r="C5" s="124"/>
      <c r="D5" s="124"/>
      <c r="E5" s="124"/>
      <c r="F5" s="124"/>
      <c r="G5" s="124"/>
      <c r="H5" s="124"/>
      <c r="I5" s="124"/>
      <c r="J5" s="124"/>
      <c r="K5" s="124"/>
      <c r="L5" s="124"/>
      <c r="M5" s="124"/>
      <c r="N5" s="124"/>
      <c r="O5" s="124"/>
      <c r="P5" s="124"/>
      <c r="Q5" s="124"/>
      <c r="R5" s="124"/>
      <c r="S5" s="124"/>
      <c r="T5" s="124"/>
      <c r="U5" s="124"/>
      <c r="V5" s="124"/>
      <c r="W5" s="83"/>
      <c r="X5" s="84"/>
      <c r="Y5" s="84"/>
      <c r="Z5" s="85"/>
      <c r="AA5" s="124"/>
      <c r="AB5" s="124"/>
      <c r="AC5" s="124"/>
    </row>
    <row r="6" ht="13.5" customHeight="1">
      <c r="A6" s="124"/>
      <c r="B6" s="124"/>
      <c r="C6" s="120" t="s">
        <v>293</v>
      </c>
      <c r="D6" s="121" t="s">
        <v>295</v>
      </c>
      <c r="E6" s="121" t="s">
        <v>296</v>
      </c>
      <c r="F6" s="121" t="s">
        <v>297</v>
      </c>
      <c r="G6" s="121" t="s">
        <v>709</v>
      </c>
      <c r="H6" s="121" t="s">
        <v>298</v>
      </c>
      <c r="I6" s="121" t="s">
        <v>299</v>
      </c>
      <c r="J6" s="121" t="s">
        <v>619</v>
      </c>
      <c r="K6" s="122" t="s">
        <v>301</v>
      </c>
      <c r="L6" s="122" t="s">
        <v>681</v>
      </c>
      <c r="M6" s="122" t="s">
        <v>682</v>
      </c>
      <c r="N6" s="122" t="s">
        <v>621</v>
      </c>
      <c r="O6" s="122" t="s">
        <v>405</v>
      </c>
      <c r="P6" s="123" t="s">
        <v>622</v>
      </c>
      <c r="Q6" s="88" t="s">
        <v>624</v>
      </c>
      <c r="R6" s="92"/>
      <c r="S6" s="92"/>
      <c r="T6" s="92"/>
      <c r="U6" s="124"/>
      <c r="V6" s="124"/>
      <c r="W6" s="92" t="s">
        <v>636</v>
      </c>
      <c r="X6" s="92" t="s">
        <v>854</v>
      </c>
      <c r="Y6" s="125" t="s">
        <v>855</v>
      </c>
      <c r="Z6" s="92" t="s">
        <v>856</v>
      </c>
      <c r="AA6" s="124"/>
      <c r="AB6" s="124"/>
      <c r="AC6" s="124"/>
    </row>
    <row r="7" ht="13.5" customHeight="1">
      <c r="A7" s="124"/>
      <c r="B7" s="124"/>
      <c r="C7" s="124">
        <v>1.0</v>
      </c>
      <c r="D7" s="91" t="s">
        <v>499</v>
      </c>
      <c r="E7" s="110" t="s">
        <v>304</v>
      </c>
      <c r="F7" s="110" t="s">
        <v>280</v>
      </c>
      <c r="G7" s="127">
        <v>45849.0</v>
      </c>
      <c r="H7" s="110" t="s">
        <v>471</v>
      </c>
      <c r="I7" s="153" t="s">
        <v>673</v>
      </c>
      <c r="J7" s="110">
        <v>35000.0</v>
      </c>
      <c r="K7" s="110">
        <v>7500.0</v>
      </c>
      <c r="L7" s="110"/>
      <c r="M7" s="110"/>
      <c r="N7" s="92" t="s">
        <v>946</v>
      </c>
      <c r="O7" s="110"/>
      <c r="P7" s="110" t="s">
        <v>947</v>
      </c>
      <c r="Q7" s="92"/>
      <c r="R7" s="92"/>
      <c r="S7" s="92"/>
      <c r="T7" s="92"/>
      <c r="U7" s="124"/>
      <c r="V7" s="124"/>
      <c r="W7" s="92">
        <v>2200.0</v>
      </c>
      <c r="X7" s="92" t="s">
        <v>309</v>
      </c>
      <c r="Y7" s="125">
        <v>45941.0</v>
      </c>
      <c r="Z7" s="92" t="s">
        <v>304</v>
      </c>
      <c r="AA7" s="124"/>
      <c r="AB7" s="124"/>
      <c r="AC7" s="124"/>
    </row>
    <row r="8" ht="13.5" customHeight="1">
      <c r="A8" s="124"/>
      <c r="B8" s="124"/>
      <c r="C8" s="124">
        <v>2.0</v>
      </c>
      <c r="D8" s="91" t="s">
        <v>277</v>
      </c>
      <c r="E8" s="110" t="s">
        <v>304</v>
      </c>
      <c r="F8" s="110" t="s">
        <v>512</v>
      </c>
      <c r="G8" s="194" t="s">
        <v>948</v>
      </c>
      <c r="H8" s="110" t="s">
        <v>949</v>
      </c>
      <c r="I8" s="153" t="s">
        <v>950</v>
      </c>
      <c r="J8" s="92">
        <v>165000.0</v>
      </c>
      <c r="K8" s="145"/>
      <c r="L8" s="97"/>
      <c r="M8" s="97"/>
      <c r="N8" s="92" t="s">
        <v>951</v>
      </c>
      <c r="O8" s="110"/>
      <c r="P8" s="110"/>
      <c r="Q8" s="92"/>
      <c r="R8" s="92"/>
      <c r="S8" s="92"/>
      <c r="T8" s="92"/>
      <c r="U8" s="124"/>
      <c r="V8" s="124"/>
      <c r="W8" s="92">
        <v>10130.0</v>
      </c>
      <c r="X8" s="92" t="s">
        <v>661</v>
      </c>
      <c r="Y8" s="185" t="s">
        <v>952</v>
      </c>
      <c r="Z8" s="92" t="s">
        <v>304</v>
      </c>
      <c r="AA8" s="124"/>
      <c r="AB8" s="124"/>
      <c r="AC8" s="124"/>
    </row>
    <row r="9" ht="13.5" customHeight="1">
      <c r="A9" s="124"/>
      <c r="B9" s="124"/>
      <c r="C9" s="124">
        <v>3.0</v>
      </c>
      <c r="D9" s="91" t="s">
        <v>953</v>
      </c>
      <c r="E9" s="110" t="s">
        <v>304</v>
      </c>
      <c r="F9" s="110" t="s">
        <v>280</v>
      </c>
      <c r="G9" s="154" t="s">
        <v>954</v>
      </c>
      <c r="H9" s="110" t="s">
        <v>471</v>
      </c>
      <c r="I9" s="153" t="s">
        <v>673</v>
      </c>
      <c r="J9" s="110">
        <v>22000.0</v>
      </c>
      <c r="K9" s="110">
        <v>4000.0</v>
      </c>
      <c r="L9" s="110"/>
      <c r="M9" s="110"/>
      <c r="N9" s="92" t="s">
        <v>946</v>
      </c>
      <c r="O9" s="196">
        <v>18000.0</v>
      </c>
      <c r="P9" s="110"/>
      <c r="Q9" s="92"/>
      <c r="R9" s="92"/>
      <c r="S9" s="92"/>
      <c r="T9" s="92"/>
      <c r="U9" s="124"/>
      <c r="V9" s="124"/>
      <c r="W9" s="92">
        <v>5970.0</v>
      </c>
      <c r="X9" s="92" t="s">
        <v>806</v>
      </c>
      <c r="Y9" s="185">
        <v>45962.0</v>
      </c>
      <c r="Z9" s="92" t="s">
        <v>56</v>
      </c>
      <c r="AA9" s="124"/>
      <c r="AB9" s="124"/>
      <c r="AC9" s="124"/>
    </row>
    <row r="10" ht="13.5" customHeight="1">
      <c r="A10" s="124"/>
      <c r="B10" s="124"/>
      <c r="C10" s="124">
        <v>4.0</v>
      </c>
      <c r="D10" s="91" t="s">
        <v>955</v>
      </c>
      <c r="E10" s="110" t="s">
        <v>355</v>
      </c>
      <c r="F10" s="110" t="s">
        <v>124</v>
      </c>
      <c r="G10" s="154" t="s">
        <v>956</v>
      </c>
      <c r="H10" s="110" t="s">
        <v>957</v>
      </c>
      <c r="I10" s="153" t="s">
        <v>958</v>
      </c>
      <c r="J10" s="110">
        <v>18000.0</v>
      </c>
      <c r="K10" s="189">
        <v>14000.0</v>
      </c>
      <c r="L10" s="110"/>
      <c r="M10" s="110"/>
      <c r="N10" s="92" t="s">
        <v>959</v>
      </c>
      <c r="O10" s="196"/>
      <c r="P10" s="110"/>
      <c r="Q10" s="92"/>
      <c r="R10" s="110"/>
      <c r="S10" s="110"/>
      <c r="T10" s="110"/>
      <c r="U10" s="124"/>
      <c r="V10" s="124"/>
      <c r="W10" s="92">
        <v>17320.0</v>
      </c>
      <c r="X10" s="92" t="s">
        <v>928</v>
      </c>
      <c r="Y10" s="191">
        <v>45962.0</v>
      </c>
      <c r="Z10" s="92" t="s">
        <v>960</v>
      </c>
      <c r="AA10" s="197" t="s">
        <v>961</v>
      </c>
    </row>
    <row r="11" ht="13.5" customHeight="1">
      <c r="A11" s="124"/>
      <c r="B11" s="124"/>
      <c r="C11" s="124">
        <v>5.0</v>
      </c>
      <c r="D11" s="91" t="s">
        <v>962</v>
      </c>
      <c r="E11" s="92" t="s">
        <v>355</v>
      </c>
      <c r="F11" s="92" t="s">
        <v>124</v>
      </c>
      <c r="G11" s="145" t="s">
        <v>956</v>
      </c>
      <c r="H11" s="92" t="s">
        <v>957</v>
      </c>
      <c r="I11" s="157" t="s">
        <v>958</v>
      </c>
      <c r="J11" s="92">
        <v>18000.0</v>
      </c>
      <c r="K11" s="92">
        <v>14000.0</v>
      </c>
      <c r="L11" s="92"/>
      <c r="M11" s="92"/>
      <c r="N11" s="92" t="s">
        <v>959</v>
      </c>
      <c r="O11" s="92"/>
      <c r="P11" s="92"/>
      <c r="Q11" s="92"/>
      <c r="R11" s="110"/>
      <c r="S11" s="110"/>
      <c r="T11" s="110"/>
      <c r="U11" s="124"/>
      <c r="V11" s="124"/>
      <c r="W11" s="92"/>
      <c r="X11" s="92"/>
      <c r="Y11" s="185"/>
      <c r="Z11" s="92"/>
      <c r="AA11" s="124"/>
      <c r="AB11" s="124"/>
      <c r="AC11" s="124"/>
    </row>
    <row r="12" ht="14.25" customHeight="1">
      <c r="A12" s="124"/>
      <c r="B12" s="124"/>
      <c r="C12" s="124">
        <v>6.0</v>
      </c>
      <c r="D12" s="91"/>
      <c r="E12" s="92"/>
      <c r="F12" s="92"/>
      <c r="G12" s="145"/>
      <c r="H12" s="186"/>
      <c r="I12" s="156"/>
      <c r="J12" s="145"/>
      <c r="K12" s="97"/>
      <c r="L12" s="97"/>
      <c r="M12" s="97"/>
      <c r="N12" s="92"/>
      <c r="O12" s="187"/>
      <c r="P12" s="92"/>
      <c r="Q12" s="92"/>
      <c r="R12" s="110"/>
      <c r="S12" s="110"/>
      <c r="T12" s="110"/>
      <c r="U12" s="124"/>
      <c r="V12" s="124"/>
      <c r="W12" s="92"/>
      <c r="X12" s="92"/>
      <c r="Y12" s="185"/>
      <c r="Z12" s="92"/>
      <c r="AA12" s="124"/>
      <c r="AB12" s="124"/>
      <c r="AC12" s="124"/>
    </row>
    <row r="13" ht="13.5" customHeight="1">
      <c r="A13" s="124"/>
      <c r="B13" s="124"/>
      <c r="C13" s="124">
        <v>7.0</v>
      </c>
      <c r="D13" s="91"/>
      <c r="E13" s="110"/>
      <c r="F13" s="110"/>
      <c r="G13" s="193"/>
      <c r="H13" s="110"/>
      <c r="I13" s="157"/>
      <c r="J13" s="145"/>
      <c r="K13" s="97"/>
      <c r="L13" s="97"/>
      <c r="M13" s="97"/>
      <c r="N13" s="92"/>
      <c r="O13" s="198"/>
      <c r="P13" s="110"/>
      <c r="Q13" s="92"/>
      <c r="R13" s="110"/>
      <c r="S13" s="110"/>
      <c r="T13" s="110"/>
      <c r="U13" s="124"/>
      <c r="V13" s="124"/>
      <c r="W13" s="187"/>
      <c r="X13" s="187"/>
      <c r="Y13" s="188"/>
      <c r="Z13" s="187"/>
      <c r="AA13" s="124"/>
      <c r="AB13" s="124"/>
      <c r="AC13" s="124"/>
    </row>
    <row r="14" ht="13.5" customHeight="1">
      <c r="A14" s="124"/>
      <c r="B14" s="124"/>
      <c r="C14" s="124">
        <v>8.0</v>
      </c>
      <c r="D14" s="91"/>
      <c r="E14" s="110"/>
      <c r="F14" s="110"/>
      <c r="G14" s="194"/>
      <c r="H14" s="110"/>
      <c r="I14" s="153"/>
      <c r="J14" s="110"/>
      <c r="K14" s="110"/>
      <c r="L14" s="110"/>
      <c r="M14" s="110"/>
      <c r="N14" s="92"/>
      <c r="O14" s="110"/>
      <c r="P14" s="110"/>
      <c r="Q14" s="92"/>
      <c r="R14" s="110"/>
      <c r="S14" s="110"/>
      <c r="T14" s="110"/>
      <c r="U14" s="124"/>
      <c r="V14" s="124"/>
      <c r="W14" s="92"/>
      <c r="X14" s="92"/>
      <c r="Y14" s="145"/>
      <c r="Z14" s="92"/>
      <c r="AA14" s="124"/>
      <c r="AB14" s="124"/>
      <c r="AC14" s="124"/>
    </row>
    <row r="15" ht="13.5" customHeight="1">
      <c r="A15" s="124"/>
      <c r="B15" s="124"/>
      <c r="C15" s="124">
        <v>9.0</v>
      </c>
      <c r="D15" s="91"/>
      <c r="E15" s="110"/>
      <c r="F15" s="110"/>
      <c r="G15" s="195"/>
      <c r="H15" s="110"/>
      <c r="I15" s="153"/>
      <c r="J15" s="92"/>
      <c r="K15" s="110"/>
      <c r="L15" s="110"/>
      <c r="M15" s="110"/>
      <c r="N15" s="92"/>
      <c r="O15" s="110"/>
      <c r="P15" s="110"/>
      <c r="Q15" s="92"/>
      <c r="R15" s="110"/>
      <c r="S15" s="110"/>
      <c r="T15" s="110"/>
      <c r="U15" s="124"/>
      <c r="V15" s="124"/>
      <c r="W15" s="92"/>
      <c r="X15" s="92"/>
      <c r="Y15" s="92"/>
      <c r="Z15" s="92"/>
      <c r="AA15" s="124"/>
      <c r="AB15" s="124"/>
      <c r="AC15" s="124"/>
    </row>
    <row r="16" ht="13.5" customHeight="1">
      <c r="A16" s="124"/>
      <c r="B16" s="124"/>
      <c r="C16" s="124">
        <v>10.0</v>
      </c>
      <c r="D16" s="91"/>
      <c r="E16" s="110"/>
      <c r="F16" s="110"/>
      <c r="G16" s="110"/>
      <c r="H16" s="110"/>
      <c r="I16" s="153"/>
      <c r="J16" s="92"/>
      <c r="K16" s="110"/>
      <c r="L16" s="110"/>
      <c r="M16" s="110"/>
      <c r="N16" s="92"/>
      <c r="O16" s="110"/>
      <c r="P16" s="110"/>
      <c r="Q16" s="92"/>
      <c r="R16" s="110"/>
      <c r="S16" s="110"/>
      <c r="T16" s="110"/>
      <c r="U16" s="124"/>
      <c r="V16" s="124"/>
      <c r="W16" s="92"/>
      <c r="X16" s="92"/>
      <c r="Y16" s="125"/>
      <c r="Z16" s="92"/>
      <c r="AA16" s="124"/>
      <c r="AB16" s="124"/>
      <c r="AC16" s="124"/>
    </row>
    <row r="17" ht="13.5" customHeight="1">
      <c r="A17" s="124"/>
      <c r="B17" s="124"/>
      <c r="C17" s="124">
        <v>3.0</v>
      </c>
      <c r="D17" s="91"/>
      <c r="E17" s="110"/>
      <c r="F17" s="110"/>
      <c r="G17" s="152"/>
      <c r="H17" s="110"/>
      <c r="I17" s="153"/>
      <c r="J17" s="92"/>
      <c r="K17" s="110"/>
      <c r="L17" s="110"/>
      <c r="M17" s="110"/>
      <c r="N17" s="92"/>
      <c r="O17" s="110"/>
      <c r="P17" s="110"/>
      <c r="Q17" s="92"/>
      <c r="R17" s="110"/>
      <c r="S17" s="110"/>
      <c r="T17" s="110"/>
      <c r="U17" s="124"/>
      <c r="V17" s="124"/>
      <c r="W17" s="92"/>
      <c r="X17" s="92"/>
      <c r="Y17" s="92"/>
      <c r="Z17" s="110"/>
      <c r="AA17" s="124"/>
      <c r="AB17" s="124"/>
      <c r="AC17" s="124"/>
    </row>
    <row r="18" ht="13.5" customHeight="1">
      <c r="A18" s="124"/>
      <c r="B18" s="124"/>
      <c r="C18" s="124">
        <v>14.0</v>
      </c>
      <c r="D18" s="91"/>
      <c r="E18" s="110"/>
      <c r="F18" s="110"/>
      <c r="G18" s="110"/>
      <c r="H18" s="110"/>
      <c r="I18" s="153"/>
      <c r="J18" s="110"/>
      <c r="K18" s="110"/>
      <c r="L18" s="110"/>
      <c r="M18" s="110"/>
      <c r="N18" s="92"/>
      <c r="O18" s="110"/>
      <c r="P18" s="110"/>
      <c r="Q18" s="92"/>
      <c r="R18" s="110"/>
      <c r="S18" s="110"/>
      <c r="T18" s="110"/>
      <c r="U18" s="124"/>
      <c r="V18" s="124"/>
      <c r="W18" s="92"/>
      <c r="X18" s="92"/>
      <c r="Y18" s="92"/>
      <c r="Z18" s="92"/>
      <c r="AA18" s="124"/>
      <c r="AB18" s="124"/>
      <c r="AC18" s="124"/>
    </row>
    <row r="19" ht="13.5" customHeight="1">
      <c r="A19" s="124"/>
      <c r="B19" s="124"/>
      <c r="C19" s="124"/>
      <c r="D19" s="91"/>
      <c r="E19" s="110"/>
      <c r="F19" s="110"/>
      <c r="G19" s="110"/>
      <c r="H19" s="110"/>
      <c r="I19" s="153"/>
      <c r="J19" s="110"/>
      <c r="K19" s="110"/>
      <c r="L19" s="110"/>
      <c r="M19" s="110"/>
      <c r="N19" s="92"/>
      <c r="O19" s="110"/>
      <c r="P19" s="110"/>
      <c r="Q19" s="92"/>
      <c r="R19" s="110"/>
      <c r="S19" s="110"/>
      <c r="T19" s="110"/>
      <c r="U19" s="124"/>
      <c r="V19" s="124"/>
      <c r="W19" s="110"/>
      <c r="X19" s="110"/>
      <c r="Y19" s="110"/>
      <c r="Z19" s="110"/>
      <c r="AA19" s="124"/>
      <c r="AB19" s="124"/>
      <c r="AC19" s="124"/>
    </row>
    <row r="20" ht="13.5" customHeight="1">
      <c r="A20" s="124"/>
      <c r="B20" s="124"/>
      <c r="C20" s="124"/>
      <c r="D20" s="91"/>
      <c r="E20" s="110"/>
      <c r="F20" s="110"/>
      <c r="G20" s="110"/>
      <c r="H20" s="110"/>
      <c r="I20" s="110"/>
      <c r="J20" s="110"/>
      <c r="K20" s="110"/>
      <c r="L20" s="110"/>
      <c r="M20" s="110"/>
      <c r="N20" s="92"/>
      <c r="O20" s="110"/>
      <c r="P20" s="110"/>
      <c r="Q20" s="92"/>
      <c r="R20" s="110"/>
      <c r="S20" s="110"/>
      <c r="T20" s="110"/>
      <c r="U20" s="124"/>
      <c r="V20" s="124"/>
      <c r="W20" s="124"/>
      <c r="X20" s="124"/>
      <c r="Y20" s="124"/>
      <c r="Z20" s="124"/>
      <c r="AA20" s="124"/>
      <c r="AB20" s="124"/>
      <c r="AC20" s="124"/>
    </row>
    <row r="21" ht="13.5" customHeight="1">
      <c r="A21" s="124"/>
      <c r="B21" s="124"/>
      <c r="C21" s="124"/>
      <c r="D21" s="91"/>
      <c r="E21" s="110"/>
      <c r="F21" s="110"/>
      <c r="G21" s="110"/>
      <c r="H21" s="110"/>
      <c r="I21" s="110"/>
      <c r="J21" s="110"/>
      <c r="K21" s="110"/>
      <c r="L21" s="110"/>
      <c r="M21" s="110"/>
      <c r="N21" s="92"/>
      <c r="O21" s="110"/>
      <c r="P21" s="110"/>
      <c r="Q21" s="92"/>
      <c r="R21" s="110"/>
      <c r="S21" s="110"/>
      <c r="T21" s="110"/>
      <c r="U21" s="124"/>
      <c r="V21" s="124"/>
      <c r="W21" s="124"/>
      <c r="X21" s="124"/>
      <c r="Y21" s="124"/>
      <c r="Z21" s="124"/>
      <c r="AA21" s="124"/>
      <c r="AB21" s="124"/>
      <c r="AC21" s="124"/>
    </row>
    <row r="22" ht="13.5" customHeight="1">
      <c r="A22" s="124"/>
      <c r="B22" s="124"/>
      <c r="C22" s="124"/>
      <c r="D22" s="91"/>
      <c r="E22" s="110"/>
      <c r="F22" s="110"/>
      <c r="G22" s="110"/>
      <c r="H22" s="110"/>
      <c r="I22" s="110"/>
      <c r="J22" s="110"/>
      <c r="K22" s="110"/>
      <c r="L22" s="110"/>
      <c r="M22" s="110"/>
      <c r="N22" s="92"/>
      <c r="O22" s="110"/>
      <c r="P22" s="110"/>
      <c r="Q22" s="92"/>
      <c r="R22" s="110"/>
      <c r="S22" s="110"/>
      <c r="T22" s="110"/>
      <c r="U22" s="124"/>
      <c r="V22" s="124"/>
      <c r="W22" s="124"/>
      <c r="X22" s="124"/>
      <c r="Y22" s="124"/>
      <c r="Z22" s="124"/>
      <c r="AA22" s="124"/>
      <c r="AB22" s="124"/>
      <c r="AC22" s="124"/>
    </row>
    <row r="23" ht="13.5" customHeight="1">
      <c r="A23" s="124"/>
      <c r="B23" s="124"/>
      <c r="C23" s="124"/>
      <c r="D23" s="110"/>
      <c r="E23" s="110"/>
      <c r="F23" s="110"/>
      <c r="G23" s="110"/>
      <c r="H23" s="110"/>
      <c r="I23" s="110"/>
      <c r="J23" s="110"/>
      <c r="K23" s="110"/>
      <c r="L23" s="110"/>
      <c r="M23" s="110"/>
      <c r="N23" s="92"/>
      <c r="O23" s="110"/>
      <c r="P23" s="110"/>
      <c r="Q23" s="92"/>
      <c r="R23" s="110"/>
      <c r="S23" s="110"/>
      <c r="T23" s="110"/>
      <c r="U23" s="161"/>
      <c r="V23" s="161"/>
      <c r="W23" s="124"/>
      <c r="X23" s="124"/>
      <c r="Y23" s="124"/>
      <c r="Z23" s="124"/>
      <c r="AA23" s="124"/>
      <c r="AB23" s="124"/>
      <c r="AC23" s="124"/>
    </row>
    <row r="24" ht="13.5" customHeight="1">
      <c r="A24" s="124"/>
      <c r="B24" s="124"/>
      <c r="C24" s="124"/>
      <c r="D24" s="124"/>
      <c r="E24" s="124"/>
      <c r="F24" s="110"/>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row>
    <row r="25" ht="13.5" customHeight="1">
      <c r="A25" s="124"/>
      <c r="B25" s="124"/>
      <c r="C25" s="124"/>
      <c r="D25" s="124"/>
      <c r="E25" s="124"/>
      <c r="F25" s="110"/>
      <c r="G25" s="124"/>
      <c r="H25" s="124"/>
      <c r="I25" s="124"/>
      <c r="J25" s="124"/>
      <c r="K25" s="124"/>
      <c r="L25" s="124"/>
      <c r="M25" s="124"/>
      <c r="N25" s="124"/>
      <c r="O25" s="124"/>
      <c r="P25" s="124"/>
      <c r="Q25" s="124"/>
      <c r="R25" s="124"/>
      <c r="S25" s="124"/>
      <c r="T25" s="124"/>
      <c r="U25" s="124"/>
      <c r="V25" s="124"/>
      <c r="W25" s="124"/>
      <c r="X25" s="124"/>
      <c r="Y25" s="124"/>
      <c r="Z25" s="124"/>
      <c r="AA25" s="124"/>
      <c r="AB25" s="124"/>
      <c r="AC25" s="124"/>
    </row>
    <row r="26" ht="13.5" customHeight="1">
      <c r="A26" s="124"/>
      <c r="B26" s="124"/>
      <c r="C26" s="124"/>
      <c r="D26" s="124"/>
      <c r="E26" s="124"/>
      <c r="F26" s="110"/>
      <c r="G26" s="124"/>
      <c r="H26" s="124"/>
      <c r="I26" s="124"/>
      <c r="J26" s="124"/>
      <c r="K26" s="124"/>
      <c r="L26" s="124"/>
      <c r="M26" s="124"/>
      <c r="N26" s="124"/>
      <c r="O26" s="124"/>
      <c r="P26" s="124"/>
      <c r="Q26" s="124"/>
      <c r="R26" s="124"/>
      <c r="S26" s="124"/>
      <c r="T26" s="124"/>
      <c r="U26" s="124"/>
      <c r="V26" s="124"/>
      <c r="W26" s="124"/>
      <c r="X26" s="124"/>
      <c r="Y26" s="124"/>
      <c r="Z26" s="124"/>
      <c r="AA26" s="124"/>
      <c r="AB26" s="124"/>
      <c r="AC26" s="124"/>
    </row>
    <row r="27" ht="13.5" customHeight="1">
      <c r="A27" s="124"/>
      <c r="B27" s="124"/>
      <c r="C27" s="124"/>
      <c r="D27" s="124"/>
      <c r="E27" s="124"/>
      <c r="F27" s="124"/>
      <c r="G27" s="124"/>
      <c r="H27" s="124"/>
      <c r="I27" s="124"/>
      <c r="J27" s="124"/>
      <c r="K27" s="124"/>
      <c r="L27" s="124"/>
      <c r="M27" s="124"/>
      <c r="N27" s="124"/>
      <c r="O27" s="124"/>
      <c r="P27" s="124"/>
      <c r="Q27" s="124"/>
      <c r="R27" s="124"/>
      <c r="S27" s="124"/>
      <c r="T27" s="124"/>
      <c r="U27" s="124"/>
      <c r="V27" s="124"/>
      <c r="W27" s="124"/>
      <c r="X27" s="124"/>
      <c r="Y27" s="124"/>
      <c r="Z27" s="124"/>
      <c r="AA27" s="124"/>
      <c r="AB27" s="124"/>
      <c r="AC27" s="124"/>
    </row>
    <row r="28" ht="13.5" customHeight="1">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row>
    <row r="29" ht="13.5" customHeight="1">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c r="AA29" s="124"/>
      <c r="AB29" s="124"/>
      <c r="AC29" s="124"/>
    </row>
    <row r="30" ht="13.5" customHeight="1">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c r="AA30" s="124"/>
      <c r="AB30" s="124"/>
      <c r="AC30" s="124"/>
    </row>
    <row r="31" ht="13.5" customHeight="1">
      <c r="A31" s="124"/>
      <c r="B31" s="124"/>
      <c r="C31" s="124"/>
      <c r="D31" s="124"/>
      <c r="E31" s="124"/>
      <c r="F31" s="124"/>
      <c r="G31" s="124"/>
      <c r="H31" s="124"/>
      <c r="I31" s="124"/>
      <c r="J31" s="124"/>
      <c r="K31" s="124"/>
      <c r="L31" s="124"/>
      <c r="M31" s="124"/>
      <c r="N31" s="124"/>
      <c r="O31" s="124"/>
      <c r="P31" s="124"/>
      <c r="Q31" s="124"/>
      <c r="R31" s="124"/>
      <c r="S31" s="124"/>
      <c r="T31" s="124"/>
      <c r="U31" s="124"/>
      <c r="V31" s="124"/>
      <c r="W31" s="124"/>
      <c r="X31" s="124"/>
      <c r="Y31" s="124"/>
      <c r="Z31" s="124"/>
      <c r="AA31" s="124"/>
      <c r="AB31" s="124"/>
      <c r="AC31" s="124"/>
    </row>
    <row r="32" ht="13.5" customHeight="1">
      <c r="A32" s="124"/>
      <c r="B32" s="124"/>
      <c r="C32" s="124"/>
      <c r="D32" s="124"/>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c r="AC32" s="124"/>
    </row>
    <row r="33" ht="13.5" customHeight="1">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c r="AC33" s="124"/>
    </row>
    <row r="34" ht="13.5" customHeight="1">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c r="AA34" s="124"/>
      <c r="AB34" s="124"/>
      <c r="AC34" s="124"/>
    </row>
    <row r="35" ht="13.5" customHeight="1">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c r="AC35" s="124"/>
    </row>
    <row r="36" ht="13.5" customHeight="1">
      <c r="A36" s="124"/>
      <c r="B36" s="124"/>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c r="AA36" s="124"/>
      <c r="AB36" s="124"/>
      <c r="AC36" s="124"/>
    </row>
    <row r="37" ht="13.5" customHeight="1">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c r="AA37" s="124"/>
      <c r="AB37" s="124"/>
      <c r="AC37" s="124"/>
    </row>
    <row r="38" ht="13.5" customHeight="1">
      <c r="A38" s="124"/>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c r="AC38" s="124"/>
    </row>
    <row r="39" ht="13.5" customHeight="1">
      <c r="A39" s="124"/>
      <c r="B39" s="124"/>
      <c r="C39" s="151">
        <v>45753.0</v>
      </c>
      <c r="D39" s="124">
        <v>20000.0</v>
      </c>
      <c r="E39" s="124" t="s">
        <v>799</v>
      </c>
      <c r="F39" s="124" t="s">
        <v>800</v>
      </c>
      <c r="G39" s="124"/>
      <c r="H39" s="124"/>
      <c r="I39" s="124"/>
      <c r="J39" s="124"/>
      <c r="K39" s="124"/>
      <c r="L39" s="124"/>
      <c r="M39" s="124"/>
      <c r="N39" s="124"/>
      <c r="O39" s="124"/>
      <c r="P39" s="124"/>
      <c r="Q39" s="124"/>
      <c r="R39" s="124"/>
      <c r="S39" s="124"/>
      <c r="T39" s="124"/>
      <c r="U39" s="124"/>
      <c r="V39" s="124"/>
      <c r="W39" s="124"/>
      <c r="X39" s="124"/>
      <c r="Y39" s="124"/>
      <c r="Z39" s="124"/>
      <c r="AA39" s="124"/>
      <c r="AB39" s="124"/>
      <c r="AC39" s="124"/>
    </row>
    <row r="40" ht="13.5" customHeight="1">
      <c r="A40" s="124"/>
      <c r="B40" s="124"/>
      <c r="C40" s="151">
        <v>45814.0</v>
      </c>
      <c r="D40" s="124">
        <v>20000.0</v>
      </c>
      <c r="E40" s="124" t="s">
        <v>801</v>
      </c>
      <c r="F40" s="124" t="s">
        <v>802</v>
      </c>
      <c r="G40" s="124"/>
      <c r="H40" s="124"/>
      <c r="I40" s="124"/>
      <c r="J40" s="124"/>
      <c r="K40" s="124"/>
      <c r="L40" s="124"/>
      <c r="M40" s="124"/>
      <c r="N40" s="124"/>
      <c r="O40" s="124"/>
      <c r="P40" s="124"/>
      <c r="Q40" s="124"/>
      <c r="R40" s="124"/>
      <c r="S40" s="124"/>
      <c r="T40" s="124"/>
      <c r="U40" s="124"/>
      <c r="V40" s="124"/>
      <c r="W40" s="124"/>
      <c r="X40" s="124"/>
      <c r="Y40" s="124"/>
      <c r="Z40" s="124"/>
      <c r="AA40" s="124"/>
      <c r="AB40" s="124"/>
      <c r="AC40" s="124"/>
    </row>
    <row r="41" ht="13.5" customHeight="1">
      <c r="A41" s="124"/>
      <c r="B41" s="124"/>
      <c r="C41" s="124" t="s">
        <v>803</v>
      </c>
      <c r="D41" s="124">
        <v>43000.0</v>
      </c>
      <c r="E41" s="124" t="s">
        <v>801</v>
      </c>
      <c r="F41" s="124" t="s">
        <v>804</v>
      </c>
      <c r="G41" s="124"/>
      <c r="H41" s="124"/>
      <c r="I41" s="124"/>
      <c r="J41" s="124"/>
      <c r="K41" s="124"/>
      <c r="L41" s="124"/>
      <c r="M41" s="124"/>
      <c r="N41" s="124"/>
      <c r="O41" s="124"/>
      <c r="P41" s="124"/>
      <c r="Q41" s="124"/>
      <c r="R41" s="124"/>
      <c r="S41" s="124"/>
      <c r="T41" s="124"/>
      <c r="U41" s="124"/>
      <c r="V41" s="124"/>
      <c r="W41" s="124"/>
      <c r="X41" s="124"/>
      <c r="Y41" s="124"/>
      <c r="Z41" s="124"/>
      <c r="AA41" s="124"/>
      <c r="AB41" s="124"/>
      <c r="AC41" s="124"/>
    </row>
    <row r="42" ht="13.5" customHeight="1">
      <c r="A42" s="124"/>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row>
    <row r="43" ht="13.5" customHeight="1">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row>
    <row r="44" ht="13.5" customHeight="1">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24"/>
    </row>
    <row r="45" ht="13.5" customHeight="1">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c r="AC45" s="124"/>
    </row>
    <row r="46" ht="13.5" customHeight="1">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row>
    <row r="47" ht="13.5" customHeight="1">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c r="AC47" s="124"/>
    </row>
    <row r="48" ht="13.5" customHeight="1">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c r="AC48" s="124"/>
    </row>
    <row r="49" ht="13.5" customHeight="1">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c r="AC49" s="124"/>
    </row>
    <row r="50" ht="13.5" customHeight="1">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row>
    <row r="51" ht="13.5" customHeight="1">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c r="AC51" s="124"/>
    </row>
    <row r="52" ht="13.5" customHeight="1">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row>
    <row r="53" ht="13.5" customHeight="1">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row>
    <row r="54" ht="13.5" customHeight="1">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c r="AC54" s="124"/>
    </row>
    <row r="55" ht="13.5" customHeight="1">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c r="AC55" s="124"/>
    </row>
    <row r="56" ht="13.5" customHeight="1">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c r="AC56" s="124"/>
    </row>
    <row r="57" ht="13.5" customHeight="1">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row>
    <row r="58" ht="13.5" customHeight="1">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c r="AC58" s="124"/>
    </row>
    <row r="59" ht="13.5" customHeight="1">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row>
    <row r="60" ht="13.5" customHeight="1">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c r="AC60" s="124"/>
    </row>
    <row r="61" ht="13.5" customHeight="1">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row>
    <row r="62" ht="13.5" customHeight="1">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row>
    <row r="63" ht="13.5" customHeight="1">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row>
    <row r="64" ht="13.5" customHeight="1">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row>
    <row r="65" ht="13.5" customHeight="1">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row>
    <row r="66" ht="13.5" customHeight="1">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c r="AC66" s="124"/>
    </row>
    <row r="67" ht="13.5" customHeight="1">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c r="AC67" s="124"/>
    </row>
    <row r="68" ht="13.5" customHeight="1">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c r="AC68" s="124"/>
    </row>
    <row r="69" ht="13.5" customHeight="1">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row>
    <row r="70" ht="13.5" customHeight="1">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24"/>
    </row>
    <row r="71" ht="13.5" customHeight="1">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c r="AC71" s="124"/>
    </row>
    <row r="72" ht="13.5" customHeight="1">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row>
    <row r="73" ht="13.5" customHeight="1">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row>
    <row r="74" ht="13.5" customHeight="1">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row>
    <row r="75" ht="13.5" customHeight="1">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row>
    <row r="76" ht="13.5" customHeight="1">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row>
    <row r="77" ht="13.5" customHeight="1">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row>
    <row r="78" ht="13.5" customHeight="1">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row>
    <row r="79" ht="13.5" customHeight="1">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c r="AC79" s="124"/>
    </row>
    <row r="80" ht="13.5" customHeight="1">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row>
    <row r="81" ht="13.5" customHeight="1">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row>
    <row r="82" ht="13.5" customHeight="1">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c r="AC82" s="124"/>
    </row>
    <row r="83" ht="13.5" customHeight="1">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row>
    <row r="84" ht="13.5" customHeight="1">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c r="AC84" s="124"/>
    </row>
    <row r="85" ht="13.5" customHeight="1">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row>
    <row r="86" ht="13.5" customHeight="1">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row>
    <row r="87" ht="13.5" customHeight="1">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row>
    <row r="88" ht="13.5" customHeight="1">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row>
    <row r="89" ht="13.5" customHeight="1">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row>
    <row r="90" ht="13.5" customHeight="1">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c r="AC90" s="124"/>
    </row>
    <row r="91" ht="13.5" customHeight="1">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row>
    <row r="92" ht="13.5" customHeight="1">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row>
    <row r="93" ht="13.5" customHeight="1">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row>
    <row r="94" ht="13.5" customHeight="1">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c r="AC94" s="124"/>
    </row>
    <row r="95" ht="13.5" customHeight="1">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row>
    <row r="96" ht="13.5" customHeight="1">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c r="AC96" s="124"/>
    </row>
    <row r="97" ht="13.5" customHeight="1">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c r="AC97" s="124"/>
    </row>
    <row r="98" ht="13.5" customHeight="1">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c r="AC98" s="124"/>
    </row>
    <row r="99" ht="13.5" customHeight="1">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c r="AA99" s="124"/>
      <c r="AB99" s="124"/>
      <c r="AC99" s="124"/>
    </row>
    <row r="100" ht="13.5" customHeight="1">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c r="AC100" s="124"/>
    </row>
    <row r="101" ht="13.5" customHeight="1">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c r="AA101" s="124"/>
      <c r="AB101" s="124"/>
      <c r="AC101" s="124"/>
    </row>
    <row r="102" ht="13.5" customHeight="1">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c r="AA102" s="124"/>
      <c r="AB102" s="124"/>
      <c r="AC102" s="124"/>
    </row>
    <row r="103" ht="13.5" customHeight="1">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c r="AA103" s="124"/>
      <c r="AB103" s="124"/>
      <c r="AC103" s="124"/>
    </row>
    <row r="104" ht="13.5" customHeight="1">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c r="AC104" s="124"/>
    </row>
    <row r="105" ht="13.5" customHeight="1">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c r="AB105" s="124"/>
      <c r="AC105" s="124"/>
    </row>
    <row r="106" ht="13.5" customHeight="1">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c r="AA106" s="124"/>
      <c r="AB106" s="124"/>
      <c r="AC106" s="124"/>
    </row>
    <row r="107" ht="13.5" customHeight="1">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4"/>
      <c r="AC107" s="124"/>
    </row>
    <row r="108" ht="13.5" customHeight="1">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c r="AA108" s="124"/>
      <c r="AB108" s="124"/>
      <c r="AC108" s="124"/>
    </row>
    <row r="109" ht="13.5" customHeight="1">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c r="AC109" s="124"/>
    </row>
    <row r="110" ht="13.5" customHeight="1">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c r="AC110" s="124"/>
    </row>
    <row r="111" ht="13.5" customHeight="1">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c r="AC111" s="124"/>
    </row>
    <row r="112" ht="13.5" customHeight="1">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c r="AC112" s="124"/>
    </row>
    <row r="113" ht="13.5" customHeight="1">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c r="AA113" s="124"/>
      <c r="AB113" s="124"/>
      <c r="AC113" s="124"/>
    </row>
    <row r="114" ht="13.5" customHeight="1">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c r="AA114" s="124"/>
      <c r="AB114" s="124"/>
      <c r="AC114" s="124"/>
    </row>
    <row r="115" ht="13.5" customHeight="1">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c r="AC115" s="124"/>
    </row>
    <row r="116" ht="13.5" customHeight="1">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c r="AA116" s="124"/>
      <c r="AB116" s="124"/>
      <c r="AC116" s="124"/>
    </row>
    <row r="117" ht="13.5" customHeight="1">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c r="AC117" s="124"/>
    </row>
    <row r="118" ht="13.5" customHeight="1">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c r="AB118" s="124"/>
      <c r="AC118" s="124"/>
    </row>
    <row r="119" ht="13.5" customHeight="1">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c r="AC119" s="124"/>
    </row>
    <row r="120" ht="13.5" customHeight="1">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c r="AC120" s="124"/>
    </row>
    <row r="121" ht="13.5" customHeight="1">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24"/>
    </row>
    <row r="122" ht="13.5" customHeight="1">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124"/>
    </row>
    <row r="123" ht="13.5" customHeight="1">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c r="AC123" s="124"/>
    </row>
    <row r="124" ht="13.5" customHeight="1">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c r="AC124" s="124"/>
    </row>
    <row r="125" ht="13.5" customHeight="1">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c r="AC125" s="124"/>
    </row>
    <row r="126" ht="13.5" customHeight="1">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c r="AC126" s="124"/>
    </row>
    <row r="127" ht="13.5" customHeight="1">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c r="AC127" s="124"/>
    </row>
    <row r="128" ht="13.5" customHeight="1">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c r="AC128" s="124"/>
    </row>
    <row r="129" ht="13.5" customHeight="1">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c r="AC129" s="124"/>
    </row>
    <row r="130" ht="13.5" customHeight="1">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row>
    <row r="131" ht="13.5" customHeight="1">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c r="AC131" s="124"/>
    </row>
    <row r="132" ht="13.5" customHeight="1">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c r="AC132" s="124"/>
    </row>
    <row r="133" ht="13.5" customHeight="1">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c r="AB133" s="124"/>
      <c r="AC133" s="124"/>
    </row>
    <row r="134" ht="13.5" customHeight="1">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24"/>
    </row>
    <row r="135" ht="13.5" customHeight="1">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c r="AC135" s="124"/>
    </row>
    <row r="136" ht="13.5" customHeight="1">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c r="AB136" s="124"/>
      <c r="AC136" s="124"/>
    </row>
    <row r="137" ht="13.5" customHeight="1">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c r="AC137" s="124"/>
    </row>
    <row r="138" ht="13.5" customHeight="1">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c r="AC138" s="124"/>
    </row>
    <row r="139" ht="13.5" customHeight="1">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c r="AC139" s="124"/>
    </row>
    <row r="140" ht="13.5" customHeight="1">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c r="AC140" s="124"/>
    </row>
    <row r="141" ht="13.5" customHeight="1">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c r="AC141" s="124"/>
    </row>
    <row r="142" ht="13.5" customHeight="1">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c r="AC142" s="124"/>
    </row>
    <row r="143" ht="13.5" customHeight="1">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24"/>
    </row>
    <row r="144" ht="13.5" customHeight="1">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c r="AC144" s="124"/>
    </row>
    <row r="145" ht="13.5" customHeight="1">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c r="AC145" s="124"/>
    </row>
    <row r="146" ht="13.5" customHeight="1">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c r="AC146" s="124"/>
    </row>
    <row r="147" ht="13.5" customHeight="1">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c r="AC147" s="124"/>
    </row>
    <row r="148" ht="13.5" customHeight="1">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c r="AC148" s="124"/>
    </row>
    <row r="149" ht="13.5" customHeight="1">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c r="AC149" s="124"/>
    </row>
    <row r="150" ht="13.5" customHeight="1">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row>
    <row r="151" ht="13.5" customHeight="1">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c r="AC151" s="124"/>
    </row>
    <row r="152" ht="13.5" customHeight="1">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c r="AB152" s="124"/>
      <c r="AC152" s="124"/>
    </row>
    <row r="153" ht="13.5" customHeight="1">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c r="AB153" s="124"/>
      <c r="AC153" s="124"/>
    </row>
    <row r="154" ht="13.5" customHeight="1">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c r="AC154" s="124"/>
    </row>
    <row r="155" ht="13.5" customHeight="1">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c r="AB155" s="124"/>
      <c r="AC155" s="124"/>
    </row>
    <row r="156" ht="13.5" customHeight="1">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c r="AC156" s="124"/>
    </row>
    <row r="157" ht="13.5" customHeight="1">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c r="AC157" s="124"/>
    </row>
    <row r="158" ht="13.5" customHeight="1">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c r="AC158" s="124"/>
    </row>
    <row r="159" ht="13.5" customHeight="1">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c r="AC159" s="124"/>
    </row>
    <row r="160" ht="13.5" customHeight="1">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24"/>
    </row>
    <row r="161" ht="13.5" customHeight="1">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c r="AC161" s="124"/>
    </row>
    <row r="162" ht="13.5" customHeight="1">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c r="AC162" s="124"/>
    </row>
    <row r="163" ht="13.5" customHeight="1">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124"/>
      <c r="AC163" s="124"/>
    </row>
    <row r="164" ht="13.5" customHeight="1">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c r="AC164" s="124"/>
    </row>
    <row r="165" ht="13.5" customHeight="1">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c r="AC165" s="124"/>
    </row>
    <row r="166" ht="13.5" customHeight="1">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c r="AC166" s="124"/>
    </row>
    <row r="167" ht="13.5" customHeight="1">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c r="AB167" s="124"/>
      <c r="AC167" s="124"/>
    </row>
    <row r="168" ht="13.5" customHeight="1">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c r="AC168" s="124"/>
    </row>
    <row r="169" ht="13.5" customHeight="1">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c r="AB169" s="124"/>
      <c r="AC169" s="124"/>
    </row>
    <row r="170" ht="13.5" customHeight="1">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c r="AC170" s="124"/>
    </row>
    <row r="171" ht="13.5" customHeight="1">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124"/>
      <c r="AC171" s="124"/>
    </row>
    <row r="172" ht="13.5" customHeight="1">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c r="AC172" s="124"/>
    </row>
    <row r="173" ht="13.5" customHeight="1">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24"/>
    </row>
    <row r="174" ht="13.5" customHeight="1">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c r="AC174" s="124"/>
    </row>
    <row r="175" ht="13.5" customHeight="1">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124"/>
      <c r="AC175" s="124"/>
    </row>
    <row r="176" ht="13.5" customHeight="1">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c r="AC176" s="124"/>
    </row>
    <row r="177" ht="13.5" customHeight="1">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c r="AC177" s="124"/>
    </row>
    <row r="178" ht="13.5" customHeight="1">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c r="AC178" s="124"/>
    </row>
    <row r="179" ht="13.5" customHeight="1">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124"/>
      <c r="AC179" s="124"/>
    </row>
    <row r="180" ht="13.5" customHeight="1">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c r="AC180" s="124"/>
    </row>
    <row r="181" ht="13.5" customHeight="1">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c r="AC181" s="124"/>
    </row>
    <row r="182" ht="13.5" customHeight="1">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124"/>
      <c r="AC182" s="124"/>
    </row>
    <row r="183" ht="13.5" customHeight="1">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c r="AB183" s="124"/>
      <c r="AC183" s="124"/>
    </row>
    <row r="184" ht="13.5" customHeight="1">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c r="AC184" s="124"/>
    </row>
    <row r="185" ht="13.5" customHeight="1">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124"/>
      <c r="AC185" s="124"/>
    </row>
    <row r="186" ht="13.5" customHeight="1">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c r="AC186" s="124"/>
    </row>
    <row r="187" ht="13.5" customHeight="1">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c r="AC187" s="124"/>
    </row>
    <row r="188" ht="13.5" customHeight="1">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c r="AC188" s="124"/>
    </row>
    <row r="189" ht="13.5" customHeight="1">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c r="AC189" s="124"/>
    </row>
    <row r="190" ht="13.5" customHeight="1">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24"/>
    </row>
    <row r="191" ht="13.5" customHeight="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c r="AC191" s="124"/>
    </row>
    <row r="192" ht="13.5" customHeight="1">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c r="AC192" s="124"/>
    </row>
    <row r="193" ht="13.5" customHeight="1">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c r="AC193" s="124"/>
    </row>
    <row r="194" ht="13.5" customHeight="1">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c r="AC194" s="124"/>
    </row>
    <row r="195" ht="13.5" customHeight="1">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c r="AC195" s="124"/>
    </row>
    <row r="196" ht="13.5" customHeight="1">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c r="AC196" s="124"/>
    </row>
    <row r="197" ht="13.5" customHeight="1">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c r="AC197" s="124"/>
    </row>
    <row r="198" ht="13.5" customHeight="1">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row>
    <row r="199" ht="13.5" customHeight="1">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c r="AC199" s="124"/>
    </row>
    <row r="200" ht="13.5" customHeight="1">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c r="AC200" s="124"/>
    </row>
    <row r="201" ht="13.5" customHeight="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c r="AC201" s="124"/>
    </row>
    <row r="202" ht="13.5" customHeight="1">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row>
    <row r="203" ht="13.5" customHeight="1">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c r="AC203" s="124"/>
    </row>
    <row r="204" ht="13.5" customHeight="1">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row>
    <row r="205" ht="13.5" customHeight="1">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c r="AC205" s="124"/>
    </row>
    <row r="206" ht="13.5" customHeight="1">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row>
    <row r="207" ht="13.5" customHeight="1">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row>
    <row r="208" ht="13.5" customHeight="1">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c r="AC208" s="124"/>
    </row>
    <row r="209" ht="13.5" customHeight="1">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c r="AC209" s="124"/>
    </row>
    <row r="210" ht="13.5" customHeight="1">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c r="AC210" s="124"/>
    </row>
    <row r="211" ht="13.5" customHeight="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c r="AC211" s="124"/>
    </row>
    <row r="212" ht="13.5" customHeight="1">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c r="AC212" s="124"/>
    </row>
    <row r="213" ht="13.5" customHeight="1">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c r="AC213" s="124"/>
    </row>
    <row r="214" ht="13.5" customHeight="1">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c r="AC214" s="124"/>
    </row>
    <row r="215" ht="13.5" customHeight="1">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c r="AC215" s="124"/>
    </row>
    <row r="216" ht="13.5" customHeight="1">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c r="AC216" s="124"/>
    </row>
    <row r="217" ht="13.5" customHeight="1">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c r="AC217" s="124"/>
    </row>
    <row r="218" ht="13.5" customHeight="1">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c r="AC218" s="124"/>
    </row>
    <row r="219" ht="13.5" customHeight="1">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c r="AC219" s="124"/>
    </row>
    <row r="220" ht="13.5" customHeight="1">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c r="AC220" s="124"/>
    </row>
    <row r="221" ht="13.5" customHeight="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c r="AC221" s="124"/>
    </row>
    <row r="222" ht="13.5" customHeight="1">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c r="AC222" s="124"/>
    </row>
    <row r="223" ht="13.5" customHeight="1">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c r="AC223" s="124"/>
    </row>
    <row r="224" ht="13.5" customHeight="1">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c r="AC224" s="124"/>
    </row>
    <row r="225" ht="13.5" customHeight="1">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c r="AC225" s="124"/>
    </row>
    <row r="226" ht="13.5" customHeight="1">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c r="AC226" s="124"/>
    </row>
    <row r="227" ht="13.5" customHeight="1">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c r="AC227" s="124"/>
    </row>
    <row r="228" ht="13.5" customHeight="1">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c r="AC228" s="124"/>
    </row>
    <row r="229" ht="13.5" customHeight="1">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c r="AC229" s="124"/>
    </row>
    <row r="230" ht="13.5" customHeight="1">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c r="AC230" s="124"/>
    </row>
    <row r="231" ht="13.5" customHeight="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c r="AC231" s="124"/>
    </row>
    <row r="232" ht="13.5" customHeight="1">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c r="AC232" s="124"/>
    </row>
    <row r="233" ht="13.5" customHeight="1">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c r="AC233" s="124"/>
    </row>
    <row r="234" ht="13.5" customHeight="1">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c r="AC234" s="124"/>
    </row>
    <row r="235" ht="13.5" customHeight="1">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c r="AC235" s="124"/>
    </row>
    <row r="236" ht="13.5" customHeight="1">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c r="AC236" s="124"/>
    </row>
    <row r="237" ht="13.5" customHeight="1">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c r="AC237" s="124"/>
    </row>
    <row r="238" ht="13.5" customHeight="1">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c r="AC238" s="124"/>
    </row>
    <row r="239" ht="13.5" customHeight="1">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c r="AC239" s="124"/>
    </row>
    <row r="240" ht="13.5" customHeight="1">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c r="AC240" s="124"/>
    </row>
    <row r="241" ht="13.5" customHeight="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c r="AC241" s="124"/>
    </row>
    <row r="242" ht="13.5" customHeight="1">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c r="AC242" s="124"/>
    </row>
    <row r="243" ht="13.5" customHeight="1">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c r="AC243" s="124"/>
    </row>
    <row r="244" ht="13.5" customHeight="1">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c r="AC244" s="124"/>
    </row>
    <row r="245" ht="13.5" customHeight="1">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c r="AC245" s="124"/>
    </row>
    <row r="246" ht="13.5" customHeight="1">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c r="AC246" s="124"/>
    </row>
    <row r="247" ht="13.5" customHeight="1">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c r="AC247" s="124"/>
    </row>
    <row r="248" ht="13.5" customHeight="1">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c r="AC248" s="124"/>
    </row>
    <row r="249" ht="13.5" customHeight="1">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c r="AC249" s="124"/>
    </row>
    <row r="250" ht="13.5" customHeight="1">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c r="AC250" s="124"/>
    </row>
    <row r="251" ht="13.5" customHeight="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c r="AC251" s="124"/>
    </row>
    <row r="252" ht="13.5" customHeight="1">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c r="AC252" s="124"/>
    </row>
    <row r="253" ht="13.5" customHeight="1">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c r="AC253" s="124"/>
    </row>
    <row r="254" ht="13.5" customHeight="1">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row>
    <row r="255" ht="13.5" customHeight="1">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c r="AC255" s="124"/>
    </row>
    <row r="256" ht="13.5" customHeight="1">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c r="AC256" s="124"/>
    </row>
    <row r="257" ht="13.5" customHeight="1">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c r="AC257" s="124"/>
    </row>
    <row r="258" ht="13.5" customHeight="1">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c r="AC258" s="124"/>
    </row>
    <row r="259" ht="13.5" customHeight="1">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c r="AC259" s="124"/>
    </row>
    <row r="260" ht="13.5" customHeight="1">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c r="AC260" s="124"/>
    </row>
    <row r="261" ht="13.5" customHeight="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c r="AC261" s="124"/>
    </row>
    <row r="262" ht="13.5" customHeight="1">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c r="AC262" s="124"/>
    </row>
    <row r="263" ht="13.5" customHeight="1">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c r="AC263" s="124"/>
    </row>
    <row r="264" ht="13.5" customHeight="1">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c r="AC264" s="124"/>
    </row>
    <row r="265" ht="13.5" customHeight="1">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c r="AC265" s="124"/>
    </row>
    <row r="266" ht="13.5" customHeight="1">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c r="AC266" s="124"/>
    </row>
    <row r="267" ht="13.5" customHeight="1">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c r="AC267" s="124"/>
    </row>
    <row r="268" ht="13.5" customHeight="1">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c r="AC268" s="124"/>
    </row>
    <row r="269" ht="13.5" customHeight="1">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c r="AC269" s="124"/>
    </row>
    <row r="270" ht="13.5" customHeight="1">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c r="AC270" s="124"/>
    </row>
    <row r="271" ht="13.5" customHeight="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c r="AC271" s="124"/>
    </row>
    <row r="272" ht="13.5" customHeight="1">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c r="AC272" s="124"/>
    </row>
    <row r="273" ht="13.5" customHeight="1">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c r="AC273" s="124"/>
    </row>
    <row r="274" ht="13.5" customHeight="1">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c r="AC274" s="124"/>
    </row>
    <row r="275" ht="13.5" customHeight="1">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c r="AC275" s="124"/>
    </row>
    <row r="276" ht="13.5" customHeight="1">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c r="AC276" s="124"/>
    </row>
    <row r="277" ht="13.5" customHeight="1">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c r="AC277" s="124"/>
    </row>
    <row r="278" ht="13.5" customHeight="1">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c r="AC278" s="124"/>
    </row>
    <row r="279" ht="13.5" customHeight="1">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c r="AC279" s="124"/>
    </row>
    <row r="280" ht="13.5" customHeight="1">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c r="AC280" s="124"/>
    </row>
    <row r="281" ht="13.5" customHeight="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c r="AC281" s="124"/>
    </row>
    <row r="282" ht="13.5" customHeight="1">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c r="AC282" s="124"/>
    </row>
    <row r="283" ht="13.5" customHeight="1">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c r="AC283" s="124"/>
    </row>
    <row r="284" ht="13.5" customHeight="1">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c r="AC284" s="124"/>
    </row>
    <row r="285" ht="13.5" customHeight="1">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c r="AC285" s="124"/>
    </row>
    <row r="286" ht="13.5" customHeight="1">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c r="AC286" s="124"/>
    </row>
    <row r="287" ht="13.5" customHeight="1">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c r="AC287" s="124"/>
    </row>
    <row r="288" ht="13.5" customHeight="1">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c r="AC288" s="124"/>
    </row>
    <row r="289" ht="13.5" customHeight="1">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c r="AC289" s="124"/>
    </row>
    <row r="290" ht="13.5" customHeight="1">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c r="AC290" s="124"/>
    </row>
    <row r="291" ht="13.5" customHeight="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c r="AC291" s="124"/>
    </row>
    <row r="292" ht="13.5" customHeight="1">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c r="AC292" s="124"/>
    </row>
    <row r="293" ht="13.5" customHeight="1">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c r="AC293" s="124"/>
    </row>
    <row r="294" ht="13.5" customHeight="1">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c r="AC294" s="124"/>
    </row>
    <row r="295" ht="13.5" customHeight="1">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c r="AC295" s="124"/>
    </row>
    <row r="296" ht="13.5" customHeight="1">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c r="AC296" s="124"/>
    </row>
    <row r="297" ht="13.5" customHeight="1">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c r="AC297" s="124"/>
    </row>
    <row r="298" ht="13.5" customHeight="1">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c r="AC298" s="124"/>
    </row>
    <row r="299" ht="13.5" customHeight="1">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c r="AC299" s="124"/>
    </row>
    <row r="300" ht="13.5" customHeight="1">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c r="AC300" s="124"/>
    </row>
    <row r="301" ht="13.5" customHeight="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c r="AC301" s="124"/>
    </row>
    <row r="302" ht="13.5" customHeight="1">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c r="AC302" s="124"/>
    </row>
    <row r="303" ht="13.5" customHeight="1">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c r="AC303" s="124"/>
    </row>
    <row r="304" ht="13.5" customHeight="1">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c r="AC304" s="124"/>
    </row>
    <row r="305" ht="13.5" customHeight="1">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c r="AC305" s="124"/>
    </row>
    <row r="306" ht="13.5" customHeight="1">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c r="AC306" s="124"/>
    </row>
    <row r="307" ht="13.5" customHeight="1">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c r="AC307" s="124"/>
    </row>
    <row r="308" ht="13.5" customHeight="1">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c r="AC308" s="124"/>
    </row>
    <row r="309" ht="13.5" customHeight="1">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c r="AC309" s="124"/>
    </row>
    <row r="310" ht="13.5" customHeight="1">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c r="AC310" s="124"/>
    </row>
    <row r="311" ht="13.5" customHeight="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c r="AC311" s="124"/>
    </row>
    <row r="312" ht="13.5" customHeight="1">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c r="AC312" s="124"/>
    </row>
    <row r="313" ht="13.5" customHeight="1">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c r="AC313" s="124"/>
    </row>
    <row r="314" ht="13.5" customHeight="1">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c r="AC314" s="124"/>
    </row>
    <row r="315" ht="13.5" customHeight="1">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c r="AC315" s="124"/>
    </row>
    <row r="316" ht="13.5" customHeight="1">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c r="AC316" s="124"/>
    </row>
    <row r="317" ht="13.5" customHeight="1">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c r="AC317" s="124"/>
    </row>
    <row r="318" ht="13.5" customHeight="1">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c r="AC318" s="124"/>
    </row>
    <row r="319" ht="13.5" customHeight="1">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c r="AC319" s="124"/>
    </row>
    <row r="320" ht="13.5" customHeight="1">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c r="AC320" s="124"/>
    </row>
    <row r="321" ht="13.5" customHeight="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c r="AC321" s="124"/>
    </row>
    <row r="322" ht="13.5" customHeight="1">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c r="AC322" s="124"/>
    </row>
    <row r="323" ht="13.5" customHeight="1">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c r="AC323" s="124"/>
    </row>
    <row r="324" ht="13.5" customHeight="1">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c r="AC324" s="124"/>
    </row>
    <row r="325" ht="13.5" customHeight="1">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c r="AC325" s="124"/>
    </row>
    <row r="326" ht="13.5" customHeight="1">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c r="AC326" s="124"/>
    </row>
    <row r="327" ht="13.5" customHeight="1">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c r="AC327" s="124"/>
    </row>
    <row r="328" ht="13.5" customHeight="1">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c r="AC328" s="124"/>
    </row>
    <row r="329" ht="13.5" customHeight="1">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c r="AC329" s="124"/>
    </row>
    <row r="330" ht="13.5" customHeight="1">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c r="AC330" s="124"/>
    </row>
    <row r="331" ht="13.5" customHeight="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c r="AC331" s="124"/>
    </row>
    <row r="332" ht="13.5" customHeight="1">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c r="AC332" s="124"/>
    </row>
    <row r="333" ht="13.5" customHeight="1">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c r="AC333" s="124"/>
    </row>
    <row r="334" ht="13.5" customHeight="1">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c r="AC334" s="124"/>
    </row>
    <row r="335" ht="13.5" customHeight="1">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c r="AC335" s="124"/>
    </row>
    <row r="336" ht="13.5" customHeight="1">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c r="AC336" s="124"/>
    </row>
    <row r="337" ht="13.5" customHeight="1">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c r="AC337" s="124"/>
    </row>
    <row r="338" ht="13.5" customHeight="1">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c r="AC338" s="124"/>
    </row>
    <row r="339" ht="13.5" customHeight="1">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c r="AC339" s="124"/>
    </row>
    <row r="340" ht="13.5" customHeight="1">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c r="AC340" s="124"/>
    </row>
    <row r="341" ht="13.5" customHeight="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c r="AC341" s="124"/>
    </row>
    <row r="342" ht="13.5" customHeight="1">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c r="AC342" s="124"/>
    </row>
    <row r="343" ht="13.5" customHeight="1">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c r="AC343" s="124"/>
    </row>
    <row r="344" ht="13.5" customHeight="1">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c r="AC344" s="124"/>
    </row>
    <row r="345" ht="13.5" customHeight="1">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c r="AC345" s="124"/>
    </row>
    <row r="346" ht="13.5" customHeight="1">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c r="AC346" s="124"/>
    </row>
    <row r="347" ht="13.5" customHeight="1">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c r="AC347" s="124"/>
    </row>
    <row r="348" ht="13.5" customHeight="1">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c r="AC348" s="124"/>
    </row>
    <row r="349" ht="13.5" customHeight="1">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c r="AC349" s="124"/>
    </row>
    <row r="350" ht="13.5" customHeight="1">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c r="AC350" s="124"/>
    </row>
    <row r="351" ht="13.5" customHeight="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c r="AC351" s="124"/>
    </row>
    <row r="352" ht="13.5" customHeight="1">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c r="AC352" s="124"/>
    </row>
    <row r="353" ht="13.5" customHeight="1">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c r="AC353" s="124"/>
    </row>
    <row r="354" ht="13.5" customHeight="1">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c r="AC354" s="124"/>
    </row>
    <row r="355" ht="13.5" customHeight="1">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c r="AC355" s="124"/>
    </row>
    <row r="356" ht="13.5" customHeight="1">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c r="AC356" s="124"/>
    </row>
    <row r="357" ht="13.5" customHeight="1">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c r="AC357" s="124"/>
    </row>
    <row r="358" ht="13.5" customHeight="1">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c r="AC358" s="124"/>
    </row>
    <row r="359" ht="13.5" customHeight="1">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c r="AC359" s="124"/>
    </row>
    <row r="360" ht="13.5" customHeight="1">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c r="AC360" s="124"/>
    </row>
    <row r="361" ht="13.5" customHeight="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c r="AC361" s="124"/>
    </row>
    <row r="362" ht="13.5" customHeight="1">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c r="AC362" s="124"/>
    </row>
    <row r="363" ht="13.5" customHeight="1">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c r="AC363" s="124"/>
    </row>
    <row r="364" ht="13.5" customHeight="1">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c r="AC364" s="124"/>
    </row>
    <row r="365" ht="13.5" customHeight="1">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c r="AC365" s="124"/>
    </row>
    <row r="366" ht="13.5" customHeight="1">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c r="AC366" s="124"/>
    </row>
    <row r="367" ht="13.5" customHeight="1">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c r="AC367" s="124"/>
    </row>
    <row r="368" ht="13.5" customHeight="1">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c r="AC368" s="124"/>
    </row>
    <row r="369" ht="13.5" customHeight="1">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c r="AC369" s="124"/>
    </row>
    <row r="370" ht="13.5" customHeight="1">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c r="AC370" s="124"/>
    </row>
    <row r="371" ht="13.5" customHeight="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c r="AC371" s="124"/>
    </row>
    <row r="372" ht="13.5" customHeight="1">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c r="AC372" s="124"/>
    </row>
    <row r="373" ht="13.5" customHeight="1">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c r="AC373" s="124"/>
    </row>
    <row r="374" ht="13.5" customHeight="1">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c r="AC374" s="124"/>
    </row>
    <row r="375" ht="13.5" customHeight="1">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c r="AC375" s="124"/>
    </row>
    <row r="376" ht="13.5" customHeight="1">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c r="AC376" s="124"/>
    </row>
    <row r="377" ht="13.5" customHeight="1">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c r="AC377" s="124"/>
    </row>
    <row r="378" ht="13.5" customHeight="1">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c r="AC378" s="124"/>
    </row>
    <row r="379" ht="13.5" customHeight="1">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c r="AC379" s="124"/>
    </row>
    <row r="380" ht="13.5" customHeight="1">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c r="AC380" s="124"/>
    </row>
    <row r="381" ht="13.5" customHeight="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c r="AC381" s="124"/>
    </row>
    <row r="382" ht="13.5" customHeight="1">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c r="AC382" s="124"/>
    </row>
    <row r="383" ht="13.5" customHeight="1">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c r="AC383" s="124"/>
    </row>
    <row r="384" ht="13.5" customHeight="1">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c r="AC384" s="124"/>
    </row>
    <row r="385" ht="13.5" customHeight="1">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c r="AC385" s="124"/>
    </row>
    <row r="386" ht="13.5" customHeight="1">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c r="AC386" s="124"/>
    </row>
    <row r="387" ht="13.5" customHeight="1">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c r="AC387" s="124"/>
    </row>
    <row r="388" ht="13.5" customHeight="1">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c r="AC388" s="124"/>
    </row>
    <row r="389" ht="13.5" customHeight="1">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c r="AC389" s="124"/>
    </row>
    <row r="390" ht="13.5" customHeight="1">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c r="AC390" s="124"/>
    </row>
    <row r="391" ht="13.5" customHeight="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c r="AC391" s="124"/>
    </row>
    <row r="392" ht="13.5" customHeight="1">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c r="AC392" s="124"/>
    </row>
    <row r="393" ht="13.5" customHeight="1">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c r="AC393" s="124"/>
    </row>
    <row r="394" ht="13.5" customHeight="1">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c r="AC394" s="124"/>
    </row>
    <row r="395" ht="13.5" customHeight="1">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c r="AC395" s="124"/>
    </row>
    <row r="396" ht="13.5" customHeight="1">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c r="AC396" s="124"/>
    </row>
    <row r="397" ht="13.5" customHeight="1">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c r="AC397" s="124"/>
    </row>
    <row r="398" ht="13.5" customHeight="1">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c r="AC398" s="124"/>
    </row>
    <row r="399" ht="13.5" customHeight="1">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c r="AC399" s="124"/>
    </row>
    <row r="400" ht="13.5" customHeight="1">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c r="AC400" s="124"/>
    </row>
    <row r="401" ht="13.5" customHeight="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c r="AC401" s="124"/>
    </row>
    <row r="402" ht="13.5" customHeight="1">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c r="AC402" s="124"/>
    </row>
    <row r="403" ht="13.5" customHeight="1">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c r="AC403" s="124"/>
    </row>
    <row r="404" ht="13.5" customHeight="1">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c r="AC404" s="124"/>
    </row>
    <row r="405" ht="13.5" customHeight="1">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c r="AC405" s="124"/>
    </row>
    <row r="406" ht="13.5" customHeight="1">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c r="AC406" s="124"/>
    </row>
    <row r="407" ht="13.5" customHeight="1">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c r="AC407" s="124"/>
    </row>
    <row r="408" ht="13.5" customHeight="1">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c r="AC408" s="124"/>
    </row>
    <row r="409" ht="13.5" customHeight="1">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c r="AC409" s="124"/>
    </row>
    <row r="410" ht="13.5" customHeight="1">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c r="AC410" s="124"/>
    </row>
    <row r="411" ht="13.5" customHeight="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c r="AC411" s="124"/>
    </row>
    <row r="412" ht="13.5" customHeight="1">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c r="AC412" s="124"/>
    </row>
    <row r="413" ht="13.5" customHeight="1">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c r="AC413" s="124"/>
    </row>
    <row r="414" ht="13.5" customHeight="1">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c r="AC414" s="124"/>
    </row>
    <row r="415" ht="13.5" customHeight="1">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c r="AC415" s="124"/>
    </row>
    <row r="416" ht="13.5" customHeight="1">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c r="AC416" s="124"/>
    </row>
    <row r="417" ht="13.5" customHeight="1">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c r="AC417" s="124"/>
    </row>
    <row r="418" ht="13.5" customHeight="1">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c r="AC418" s="124"/>
    </row>
    <row r="419" ht="13.5" customHeight="1">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c r="AC419" s="124"/>
    </row>
    <row r="420" ht="13.5" customHeight="1">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c r="AC420" s="124"/>
    </row>
    <row r="421" ht="13.5" customHeight="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c r="AC421" s="124"/>
    </row>
    <row r="422" ht="13.5" customHeight="1">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c r="AC422" s="124"/>
    </row>
    <row r="423" ht="13.5" customHeight="1">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c r="AC423" s="124"/>
    </row>
    <row r="424" ht="13.5" customHeight="1">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c r="AC424" s="124"/>
    </row>
    <row r="425" ht="13.5" customHeight="1">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c r="AC425" s="124"/>
    </row>
    <row r="426" ht="13.5" customHeight="1">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c r="AC426" s="124"/>
    </row>
    <row r="427" ht="13.5" customHeight="1">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c r="AC427" s="124"/>
    </row>
    <row r="428" ht="13.5" customHeight="1">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c r="AC428" s="124"/>
    </row>
    <row r="429" ht="13.5" customHeight="1">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c r="AC429" s="124"/>
    </row>
    <row r="430" ht="13.5" customHeight="1">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c r="AC430" s="124"/>
    </row>
    <row r="431" ht="13.5" customHeight="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c r="AC431" s="124"/>
    </row>
    <row r="432" ht="13.5" customHeight="1">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c r="AC432" s="124"/>
    </row>
    <row r="433" ht="13.5" customHeight="1">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c r="AC433" s="124"/>
    </row>
    <row r="434" ht="13.5" customHeight="1">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c r="AC434" s="124"/>
    </row>
    <row r="435" ht="13.5" customHeight="1">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c r="AC435" s="124"/>
    </row>
    <row r="436" ht="13.5" customHeight="1">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c r="AC436" s="124"/>
    </row>
    <row r="437" ht="13.5" customHeight="1">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c r="AC437" s="124"/>
    </row>
    <row r="438" ht="13.5" customHeight="1">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c r="AC438" s="124"/>
    </row>
    <row r="439" ht="13.5" customHeight="1">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c r="AC439" s="124"/>
    </row>
    <row r="440" ht="13.5" customHeight="1">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c r="AC440" s="124"/>
    </row>
    <row r="441" ht="13.5" customHeight="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c r="AC441" s="124"/>
    </row>
    <row r="442" ht="13.5" customHeight="1">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c r="AC442" s="124"/>
    </row>
    <row r="443" ht="13.5" customHeight="1">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c r="AC443" s="124"/>
    </row>
    <row r="444" ht="13.5" customHeight="1">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c r="AC444" s="124"/>
    </row>
    <row r="445" ht="13.5" customHeight="1">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c r="AC445" s="124"/>
    </row>
    <row r="446" ht="13.5" customHeight="1">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c r="AC446" s="124"/>
    </row>
    <row r="447" ht="13.5" customHeight="1">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c r="AC447" s="124"/>
    </row>
    <row r="448" ht="13.5" customHeight="1">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c r="AC448" s="124"/>
    </row>
    <row r="449" ht="13.5" customHeight="1">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c r="AC449" s="124"/>
    </row>
    <row r="450" ht="13.5" customHeight="1">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c r="AC450" s="124"/>
    </row>
    <row r="451" ht="13.5" customHeight="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c r="AC451" s="124"/>
    </row>
    <row r="452" ht="13.5" customHeight="1">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c r="AC452" s="124"/>
    </row>
    <row r="453" ht="13.5" customHeight="1">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c r="AC453" s="124"/>
    </row>
    <row r="454" ht="13.5" customHeight="1">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c r="AC454" s="124"/>
    </row>
    <row r="455" ht="13.5" customHeight="1">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c r="AC455" s="124"/>
    </row>
    <row r="456" ht="13.5" customHeight="1">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c r="AC456" s="124"/>
    </row>
    <row r="457" ht="13.5" customHeight="1">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c r="AC457" s="124"/>
    </row>
    <row r="458" ht="13.5" customHeight="1">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c r="AC458" s="124"/>
    </row>
    <row r="459" ht="13.5" customHeight="1">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c r="AC459" s="124"/>
    </row>
    <row r="460" ht="13.5" customHeight="1">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c r="AC460" s="124"/>
    </row>
    <row r="461" ht="13.5" customHeight="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c r="AC461" s="124"/>
    </row>
    <row r="462" ht="13.5" customHeight="1">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c r="AC462" s="124"/>
    </row>
    <row r="463" ht="13.5" customHeight="1">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c r="AC463" s="124"/>
    </row>
    <row r="464" ht="13.5" customHeight="1">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c r="AC464" s="124"/>
    </row>
    <row r="465" ht="13.5" customHeight="1">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c r="AC465" s="124"/>
    </row>
    <row r="466" ht="13.5" customHeight="1">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c r="AC466" s="124"/>
    </row>
    <row r="467" ht="13.5" customHeight="1">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c r="AC467" s="124"/>
    </row>
    <row r="468" ht="13.5" customHeight="1">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c r="AC468" s="124"/>
    </row>
    <row r="469" ht="13.5" customHeight="1">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c r="AC469" s="124"/>
    </row>
    <row r="470" ht="13.5" customHeight="1">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c r="AC470" s="124"/>
    </row>
    <row r="471" ht="13.5" customHeight="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c r="AC471" s="124"/>
    </row>
    <row r="472" ht="13.5" customHeight="1">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c r="AC472" s="124"/>
    </row>
    <row r="473" ht="13.5" customHeight="1">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c r="AC473" s="124"/>
    </row>
    <row r="474" ht="13.5" customHeight="1">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c r="AC474" s="124"/>
    </row>
    <row r="475" ht="13.5" customHeight="1">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c r="AC475" s="124"/>
    </row>
    <row r="476" ht="13.5" customHeight="1">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c r="AC476" s="124"/>
    </row>
    <row r="477" ht="13.5" customHeight="1">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c r="AC477" s="124"/>
    </row>
    <row r="478" ht="13.5" customHeight="1">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c r="AC478" s="124"/>
    </row>
    <row r="479" ht="13.5" customHeight="1">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c r="AC479" s="124"/>
    </row>
    <row r="480" ht="13.5" customHeight="1">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c r="AC480" s="124"/>
    </row>
    <row r="481" ht="13.5" customHeight="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c r="AC481" s="124"/>
    </row>
    <row r="482" ht="13.5" customHeight="1">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c r="AC482" s="124"/>
    </row>
    <row r="483" ht="13.5" customHeight="1">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c r="AC483" s="124"/>
    </row>
    <row r="484" ht="13.5" customHeight="1">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c r="AC484" s="124"/>
    </row>
    <row r="485" ht="13.5" customHeight="1">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c r="AC485" s="124"/>
    </row>
    <row r="486" ht="13.5" customHeight="1">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c r="AC486" s="124"/>
    </row>
    <row r="487" ht="13.5" customHeight="1">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c r="AC487" s="124"/>
    </row>
    <row r="488" ht="13.5" customHeight="1">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c r="AC488" s="124"/>
    </row>
    <row r="489" ht="13.5" customHeight="1">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c r="AC489" s="124"/>
    </row>
    <row r="490" ht="13.5" customHeight="1">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c r="AC490" s="124"/>
    </row>
    <row r="491" ht="13.5" customHeight="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c r="AC491" s="124"/>
    </row>
    <row r="492" ht="13.5" customHeight="1">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c r="AC492" s="124"/>
    </row>
    <row r="493" ht="13.5" customHeight="1">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c r="AC493" s="124"/>
    </row>
    <row r="494" ht="13.5" customHeight="1">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c r="AC494" s="124"/>
    </row>
    <row r="495" ht="13.5" customHeight="1">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c r="AC495" s="124"/>
    </row>
    <row r="496" ht="13.5" customHeight="1">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c r="AC496" s="124"/>
    </row>
    <row r="497" ht="13.5" customHeight="1">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c r="AC497" s="124"/>
    </row>
    <row r="498" ht="13.5" customHeight="1">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c r="AC498" s="124"/>
    </row>
    <row r="499" ht="13.5" customHeight="1">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c r="AC499" s="124"/>
    </row>
    <row r="500" ht="13.5" customHeight="1">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c r="AC500" s="124"/>
    </row>
    <row r="501" ht="13.5" customHeight="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c r="AC501" s="124"/>
    </row>
    <row r="502" ht="13.5" customHeight="1">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c r="AC502" s="124"/>
    </row>
    <row r="503" ht="13.5" customHeight="1">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c r="AC503" s="124"/>
    </row>
    <row r="504" ht="13.5" customHeight="1">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c r="AC504" s="124"/>
    </row>
    <row r="505" ht="13.5" customHeight="1">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c r="AC505" s="124"/>
    </row>
    <row r="506" ht="13.5" customHeight="1">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c r="AC506" s="124"/>
    </row>
    <row r="507" ht="13.5" customHeight="1">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c r="AC507" s="124"/>
    </row>
    <row r="508" ht="13.5" customHeight="1">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c r="AC508" s="124"/>
    </row>
    <row r="509" ht="13.5" customHeight="1">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c r="AC509" s="124"/>
    </row>
    <row r="510" ht="13.5" customHeight="1">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c r="AC510" s="124"/>
    </row>
    <row r="511" ht="13.5" customHeight="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c r="AC511" s="124"/>
    </row>
    <row r="512" ht="13.5" customHeight="1">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c r="AC512" s="124"/>
    </row>
    <row r="513" ht="13.5" customHeight="1">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c r="AC513" s="124"/>
    </row>
    <row r="514" ht="13.5" customHeight="1">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c r="AC514" s="124"/>
    </row>
    <row r="515" ht="13.5" customHeight="1">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c r="AC515" s="124"/>
    </row>
    <row r="516" ht="13.5" customHeight="1">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c r="AC516" s="124"/>
    </row>
    <row r="517" ht="13.5" customHeight="1">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c r="AC517" s="124"/>
    </row>
    <row r="518" ht="13.5" customHeight="1">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c r="AC518" s="124"/>
    </row>
    <row r="519" ht="13.5" customHeight="1">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c r="AC519" s="124"/>
    </row>
    <row r="520" ht="13.5" customHeight="1">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c r="AC520" s="124"/>
    </row>
    <row r="521" ht="13.5" customHeight="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c r="AC521" s="124"/>
    </row>
    <row r="522" ht="13.5" customHeight="1">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c r="AC522" s="124"/>
    </row>
    <row r="523" ht="13.5" customHeight="1">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c r="AC523" s="124"/>
    </row>
    <row r="524" ht="13.5" customHeight="1">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c r="AC524" s="124"/>
    </row>
    <row r="525" ht="13.5" customHeight="1">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c r="AC525" s="124"/>
    </row>
    <row r="526" ht="13.5" customHeight="1">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c r="AC526" s="124"/>
    </row>
    <row r="527" ht="13.5" customHeight="1">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c r="AC527" s="124"/>
    </row>
    <row r="528" ht="13.5" customHeight="1">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c r="AC528" s="124"/>
    </row>
    <row r="529" ht="13.5" customHeight="1">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c r="AC529" s="124"/>
    </row>
    <row r="530" ht="13.5" customHeight="1">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c r="AC530" s="124"/>
    </row>
    <row r="531" ht="13.5" customHeight="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c r="AC531" s="124"/>
    </row>
    <row r="532" ht="13.5" customHeight="1">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c r="AC532" s="124"/>
    </row>
    <row r="533" ht="13.5" customHeight="1">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c r="AC533" s="124"/>
    </row>
    <row r="534" ht="13.5" customHeight="1">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c r="AC534" s="124"/>
    </row>
    <row r="535" ht="13.5" customHeight="1">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c r="AC535" s="124"/>
    </row>
    <row r="536" ht="13.5" customHeight="1">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c r="AC536" s="124"/>
    </row>
    <row r="537" ht="13.5" customHeight="1">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c r="AC537" s="124"/>
    </row>
    <row r="538" ht="13.5" customHeight="1">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c r="AC538" s="124"/>
    </row>
    <row r="539" ht="13.5" customHeight="1">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c r="AC539" s="124"/>
    </row>
    <row r="540" ht="13.5" customHeight="1">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c r="AC540" s="124"/>
    </row>
    <row r="541" ht="13.5" customHeight="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c r="AC541" s="124"/>
    </row>
    <row r="542" ht="13.5" customHeight="1">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c r="AC542" s="124"/>
    </row>
    <row r="543" ht="13.5" customHeight="1">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c r="AC543" s="124"/>
    </row>
    <row r="544" ht="13.5" customHeight="1">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c r="AC544" s="124"/>
    </row>
    <row r="545" ht="13.5" customHeight="1">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c r="AC545" s="124"/>
    </row>
    <row r="546" ht="13.5" customHeight="1">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c r="AC546" s="124"/>
    </row>
    <row r="547" ht="13.5" customHeight="1">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c r="AC547" s="124"/>
    </row>
    <row r="548" ht="13.5" customHeight="1">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c r="AC548" s="124"/>
    </row>
    <row r="549" ht="13.5" customHeight="1">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c r="AC549" s="124"/>
    </row>
    <row r="550" ht="13.5" customHeight="1">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c r="AC550" s="124"/>
    </row>
    <row r="551" ht="13.5" customHeight="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c r="AC551" s="124"/>
    </row>
    <row r="552" ht="13.5" customHeight="1">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c r="AC552" s="124"/>
    </row>
    <row r="553" ht="13.5" customHeight="1">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c r="AC553" s="124"/>
    </row>
    <row r="554" ht="13.5" customHeight="1">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c r="AC554" s="124"/>
    </row>
    <row r="555" ht="13.5" customHeight="1">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c r="AC555" s="124"/>
    </row>
    <row r="556" ht="13.5" customHeight="1">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c r="AC556" s="124"/>
    </row>
    <row r="557" ht="13.5" customHeight="1">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c r="AC557" s="124"/>
    </row>
    <row r="558" ht="13.5" customHeight="1">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c r="AC558" s="124"/>
    </row>
    <row r="559" ht="13.5" customHeight="1">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c r="AC559" s="124"/>
    </row>
    <row r="560" ht="13.5" customHeight="1">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c r="AC560" s="124"/>
    </row>
    <row r="561" ht="13.5" customHeight="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c r="AC561" s="124"/>
    </row>
    <row r="562" ht="13.5" customHeight="1">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c r="AC562" s="124"/>
    </row>
    <row r="563" ht="13.5" customHeight="1">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c r="AC563" s="124"/>
    </row>
    <row r="564" ht="13.5" customHeight="1">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c r="AC564" s="124"/>
    </row>
    <row r="565" ht="13.5" customHeight="1">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c r="AC565" s="124"/>
    </row>
    <row r="566" ht="13.5" customHeight="1">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c r="AC566" s="124"/>
    </row>
    <row r="567" ht="13.5" customHeight="1">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c r="AC567" s="124"/>
    </row>
    <row r="568" ht="13.5" customHeight="1">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c r="AC568" s="124"/>
    </row>
    <row r="569" ht="13.5" customHeight="1">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c r="AC569" s="124"/>
    </row>
    <row r="570" ht="13.5" customHeight="1">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c r="AC570" s="124"/>
    </row>
    <row r="571" ht="13.5" customHeight="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c r="AC571" s="124"/>
    </row>
    <row r="572" ht="13.5" customHeight="1">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c r="AC572" s="124"/>
    </row>
    <row r="573" ht="13.5" customHeight="1">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c r="AC573" s="124"/>
    </row>
    <row r="574" ht="13.5" customHeight="1">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c r="AC574" s="124"/>
    </row>
    <row r="575" ht="13.5" customHeight="1">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c r="AC575" s="124"/>
    </row>
    <row r="576" ht="13.5" customHeight="1">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c r="AC576" s="124"/>
    </row>
    <row r="577" ht="13.5" customHeight="1">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c r="AC577" s="124"/>
    </row>
    <row r="578" ht="13.5" customHeight="1">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c r="AC578" s="124"/>
    </row>
    <row r="579" ht="13.5" customHeight="1">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c r="AC579" s="124"/>
    </row>
    <row r="580" ht="13.5" customHeight="1">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c r="AC580" s="124"/>
    </row>
    <row r="581" ht="13.5" customHeight="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c r="AC581" s="124"/>
    </row>
    <row r="582" ht="13.5" customHeight="1">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c r="AC582" s="124"/>
    </row>
    <row r="583" ht="13.5" customHeight="1">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c r="AC583" s="124"/>
    </row>
    <row r="584" ht="13.5" customHeight="1">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c r="AC584" s="124"/>
    </row>
    <row r="585" ht="13.5" customHeight="1">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c r="AC585" s="124"/>
    </row>
    <row r="586" ht="13.5" customHeight="1">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c r="AC586" s="124"/>
    </row>
    <row r="587" ht="13.5" customHeight="1">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c r="AC587" s="124"/>
    </row>
    <row r="588" ht="13.5" customHeight="1">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c r="AC588" s="124"/>
    </row>
    <row r="589" ht="13.5" customHeight="1">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c r="AC589" s="124"/>
    </row>
    <row r="590" ht="13.5" customHeight="1">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c r="AC590" s="124"/>
    </row>
    <row r="591" ht="13.5" customHeight="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c r="AC591" s="124"/>
    </row>
    <row r="592" ht="13.5" customHeight="1">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c r="AC592" s="124"/>
    </row>
    <row r="593" ht="13.5" customHeight="1">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c r="AC593" s="124"/>
    </row>
    <row r="594" ht="13.5" customHeight="1">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c r="AC594" s="124"/>
    </row>
    <row r="595" ht="13.5" customHeight="1">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c r="AC595" s="124"/>
    </row>
    <row r="596" ht="13.5" customHeight="1">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c r="AC596" s="124"/>
    </row>
    <row r="597" ht="13.5" customHeight="1">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c r="AC597" s="124"/>
    </row>
    <row r="598" ht="13.5" customHeight="1">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c r="AC598" s="124"/>
    </row>
    <row r="599" ht="13.5" customHeight="1">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c r="AC599" s="124"/>
    </row>
    <row r="600" ht="13.5" customHeight="1">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c r="AC600" s="124"/>
    </row>
    <row r="601" ht="13.5" customHeight="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c r="AC601" s="124"/>
    </row>
    <row r="602" ht="13.5" customHeight="1">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c r="AC602" s="124"/>
    </row>
    <row r="603" ht="13.5" customHeight="1">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c r="AC603" s="124"/>
    </row>
    <row r="604" ht="13.5" customHeight="1">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c r="AC604" s="124"/>
    </row>
    <row r="605" ht="13.5" customHeight="1">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c r="AC605" s="124"/>
    </row>
    <row r="606" ht="13.5" customHeight="1">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c r="AC606" s="124"/>
    </row>
    <row r="607" ht="13.5" customHeight="1">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c r="AC607" s="124"/>
    </row>
    <row r="608" ht="13.5" customHeight="1">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c r="AC608" s="124"/>
    </row>
    <row r="609" ht="13.5" customHeight="1">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c r="AC609" s="124"/>
    </row>
    <row r="610" ht="13.5" customHeight="1">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c r="AC610" s="124"/>
    </row>
    <row r="611" ht="13.5" customHeight="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c r="AC611" s="124"/>
    </row>
    <row r="612" ht="13.5" customHeight="1">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c r="AC612" s="124"/>
    </row>
    <row r="613" ht="13.5" customHeight="1">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c r="AC613" s="124"/>
    </row>
    <row r="614" ht="13.5" customHeight="1">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c r="AC614" s="124"/>
    </row>
    <row r="615" ht="13.5" customHeight="1">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c r="AC615" s="124"/>
    </row>
    <row r="616" ht="13.5" customHeight="1">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c r="AC616" s="124"/>
    </row>
    <row r="617" ht="13.5" customHeight="1">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c r="AC617" s="124"/>
    </row>
    <row r="618" ht="13.5" customHeight="1">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c r="AC618" s="124"/>
    </row>
    <row r="619" ht="13.5" customHeight="1">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c r="AC619" s="124"/>
    </row>
    <row r="620" ht="13.5" customHeight="1">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c r="AC620" s="124"/>
    </row>
    <row r="621" ht="13.5" customHeight="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c r="AC621" s="124"/>
    </row>
    <row r="622" ht="13.5" customHeight="1">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c r="AC622" s="124"/>
    </row>
    <row r="623" ht="13.5" customHeight="1">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c r="AC623" s="124"/>
    </row>
    <row r="624" ht="13.5" customHeight="1">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c r="AC624" s="124"/>
    </row>
    <row r="625" ht="13.5" customHeight="1">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c r="AC625" s="124"/>
    </row>
    <row r="626" ht="13.5" customHeight="1">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c r="AC626" s="124"/>
    </row>
    <row r="627" ht="13.5" customHeight="1">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c r="AC627" s="124"/>
    </row>
    <row r="628" ht="13.5" customHeight="1">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c r="AC628" s="124"/>
    </row>
    <row r="629" ht="13.5" customHeight="1">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c r="AC629" s="124"/>
    </row>
    <row r="630" ht="13.5" customHeight="1">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c r="AC630" s="124"/>
    </row>
    <row r="631" ht="13.5" customHeight="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c r="AC631" s="124"/>
    </row>
    <row r="632" ht="13.5" customHeight="1">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c r="AC632" s="124"/>
    </row>
    <row r="633" ht="13.5" customHeight="1">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c r="AC633" s="124"/>
    </row>
    <row r="634" ht="13.5" customHeight="1">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c r="AC634" s="124"/>
    </row>
    <row r="635" ht="13.5" customHeight="1">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c r="AC635" s="124"/>
    </row>
    <row r="636" ht="13.5" customHeight="1">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c r="AC636" s="124"/>
    </row>
    <row r="637" ht="13.5" customHeight="1">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c r="AC637" s="124"/>
    </row>
    <row r="638" ht="13.5" customHeight="1">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c r="AC638" s="124"/>
    </row>
    <row r="639" ht="13.5" customHeight="1">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c r="AC639" s="124"/>
    </row>
    <row r="640" ht="13.5" customHeight="1">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c r="AC640" s="124"/>
    </row>
    <row r="641" ht="13.5" customHeight="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c r="AC641" s="124"/>
    </row>
    <row r="642" ht="13.5" customHeight="1">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c r="AC642" s="124"/>
    </row>
    <row r="643" ht="13.5" customHeight="1">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c r="AC643" s="124"/>
    </row>
    <row r="644" ht="13.5" customHeight="1">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c r="AC644" s="124"/>
    </row>
    <row r="645" ht="13.5" customHeight="1">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c r="AC645" s="124"/>
    </row>
    <row r="646" ht="13.5" customHeight="1">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c r="AC646" s="124"/>
    </row>
    <row r="647" ht="13.5" customHeight="1">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c r="AC647" s="124"/>
    </row>
    <row r="648" ht="13.5" customHeight="1">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c r="AC648" s="124"/>
    </row>
    <row r="649" ht="13.5" customHeight="1">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c r="AC649" s="124"/>
    </row>
    <row r="650" ht="13.5" customHeight="1">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c r="AC650" s="124"/>
    </row>
    <row r="651" ht="13.5" customHeight="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c r="AC651" s="124"/>
    </row>
    <row r="652" ht="13.5" customHeight="1">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c r="AC652" s="124"/>
    </row>
    <row r="653" ht="13.5" customHeight="1">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c r="AC653" s="124"/>
    </row>
    <row r="654" ht="13.5" customHeight="1">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c r="AC654" s="124"/>
    </row>
    <row r="655" ht="13.5" customHeight="1">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c r="AC655" s="124"/>
    </row>
    <row r="656" ht="13.5" customHeight="1">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c r="AC656" s="124"/>
    </row>
    <row r="657" ht="13.5" customHeight="1">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c r="AC657" s="124"/>
    </row>
    <row r="658" ht="13.5" customHeight="1">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c r="AC658" s="124"/>
    </row>
    <row r="659" ht="13.5" customHeight="1">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c r="AC659" s="124"/>
    </row>
    <row r="660" ht="13.5" customHeight="1">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c r="AC660" s="124"/>
    </row>
    <row r="661" ht="13.5" customHeight="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c r="AC661" s="124"/>
    </row>
    <row r="662" ht="13.5" customHeight="1">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c r="AC662" s="124"/>
    </row>
    <row r="663" ht="13.5" customHeight="1">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c r="AC663" s="124"/>
    </row>
    <row r="664" ht="13.5" customHeight="1">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c r="AC664" s="124"/>
    </row>
    <row r="665" ht="13.5" customHeight="1">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c r="AC665" s="124"/>
    </row>
    <row r="666" ht="13.5" customHeight="1">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c r="AC666" s="124"/>
    </row>
    <row r="667" ht="13.5" customHeight="1">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c r="AC667" s="124"/>
    </row>
    <row r="668" ht="13.5" customHeight="1">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c r="AC668" s="124"/>
    </row>
    <row r="669" ht="13.5" customHeight="1">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c r="AC669" s="124"/>
    </row>
    <row r="670" ht="13.5" customHeight="1">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c r="AC670" s="124"/>
    </row>
    <row r="671" ht="13.5" customHeight="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c r="AC671" s="124"/>
    </row>
    <row r="672" ht="13.5" customHeight="1">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c r="AC672" s="124"/>
    </row>
    <row r="673" ht="13.5" customHeight="1">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c r="AC673" s="124"/>
    </row>
    <row r="674" ht="13.5" customHeight="1">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c r="AC674" s="124"/>
    </row>
    <row r="675" ht="13.5" customHeight="1">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c r="AC675" s="124"/>
    </row>
    <row r="676" ht="13.5" customHeight="1">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c r="AC676" s="124"/>
    </row>
    <row r="677" ht="13.5" customHeight="1">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c r="AC677" s="124"/>
    </row>
    <row r="678" ht="13.5" customHeight="1">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c r="AC678" s="124"/>
    </row>
    <row r="679" ht="13.5" customHeight="1">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c r="AC679" s="124"/>
    </row>
    <row r="680" ht="13.5" customHeight="1">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c r="AC680" s="124"/>
    </row>
    <row r="681" ht="13.5" customHeight="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c r="AC681" s="124"/>
    </row>
    <row r="682" ht="13.5" customHeight="1">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c r="AC682" s="124"/>
    </row>
    <row r="683" ht="13.5" customHeight="1">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c r="AC683" s="124"/>
    </row>
    <row r="684" ht="13.5" customHeight="1">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c r="AC684" s="124"/>
    </row>
    <row r="685" ht="13.5" customHeight="1">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c r="AC685" s="124"/>
    </row>
    <row r="686" ht="13.5" customHeight="1">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c r="AC686" s="124"/>
    </row>
    <row r="687" ht="13.5" customHeight="1">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c r="AC687" s="124"/>
    </row>
    <row r="688" ht="13.5" customHeight="1">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c r="AC688" s="124"/>
    </row>
    <row r="689" ht="13.5" customHeight="1">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c r="AC689" s="124"/>
    </row>
    <row r="690" ht="13.5" customHeight="1">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c r="AC690" s="124"/>
    </row>
    <row r="691" ht="13.5" customHeight="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c r="AC691" s="124"/>
    </row>
    <row r="692" ht="13.5" customHeight="1">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c r="AC692" s="124"/>
    </row>
    <row r="693" ht="13.5" customHeight="1">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c r="AC693" s="124"/>
    </row>
    <row r="694" ht="13.5" customHeight="1">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c r="AC694" s="124"/>
    </row>
    <row r="695" ht="13.5" customHeight="1">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c r="AC695" s="124"/>
    </row>
    <row r="696" ht="13.5" customHeight="1">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c r="AC696" s="124"/>
    </row>
    <row r="697" ht="13.5" customHeight="1">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c r="AC697" s="124"/>
    </row>
    <row r="698" ht="13.5" customHeight="1">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c r="AC698" s="124"/>
    </row>
    <row r="699" ht="13.5" customHeight="1">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c r="AC699" s="124"/>
    </row>
    <row r="700" ht="13.5" customHeight="1">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c r="AC700" s="124"/>
    </row>
    <row r="701" ht="13.5" customHeight="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c r="AC701" s="124"/>
    </row>
    <row r="702" ht="13.5" customHeight="1">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c r="AC702" s="124"/>
    </row>
    <row r="703" ht="13.5" customHeight="1">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c r="AC703" s="124"/>
    </row>
    <row r="704" ht="13.5" customHeight="1">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c r="AC704" s="124"/>
    </row>
    <row r="705" ht="13.5" customHeight="1">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c r="AC705" s="124"/>
    </row>
    <row r="706" ht="13.5" customHeight="1">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c r="AC706" s="124"/>
    </row>
    <row r="707" ht="13.5" customHeight="1">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c r="AC707" s="124"/>
    </row>
    <row r="708" ht="13.5" customHeight="1">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c r="AC708" s="124"/>
    </row>
    <row r="709" ht="13.5" customHeight="1">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c r="AC709" s="124"/>
    </row>
    <row r="710" ht="13.5" customHeight="1">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c r="AC710" s="124"/>
    </row>
    <row r="711" ht="13.5" customHeight="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c r="AC711" s="124"/>
    </row>
    <row r="712" ht="13.5" customHeight="1">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c r="AC712" s="124"/>
    </row>
    <row r="713" ht="13.5" customHeight="1">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c r="AC713" s="124"/>
    </row>
    <row r="714" ht="13.5" customHeight="1">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c r="AC714" s="124"/>
    </row>
    <row r="715" ht="13.5" customHeight="1">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c r="AC715" s="124"/>
    </row>
    <row r="716" ht="13.5" customHeight="1">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c r="AC716" s="124"/>
    </row>
    <row r="717" ht="13.5" customHeight="1">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c r="AC717" s="124"/>
    </row>
    <row r="718" ht="13.5" customHeight="1">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c r="AC718" s="124"/>
    </row>
    <row r="719" ht="13.5" customHeight="1">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c r="AC719" s="124"/>
    </row>
    <row r="720" ht="13.5" customHeight="1">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c r="AC720" s="124"/>
    </row>
    <row r="721" ht="13.5" customHeight="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c r="AC721" s="124"/>
    </row>
    <row r="722" ht="13.5" customHeight="1">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c r="AC722" s="124"/>
    </row>
    <row r="723" ht="13.5" customHeight="1">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c r="AC723" s="124"/>
    </row>
    <row r="724" ht="13.5" customHeight="1">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c r="AC724" s="124"/>
    </row>
    <row r="725" ht="13.5" customHeight="1">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c r="AC725" s="124"/>
    </row>
    <row r="726" ht="13.5" customHeight="1">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c r="AC726" s="124"/>
    </row>
    <row r="727" ht="13.5" customHeight="1">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c r="AC727" s="124"/>
    </row>
    <row r="728" ht="13.5" customHeight="1">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c r="AC728" s="124"/>
    </row>
    <row r="729" ht="13.5" customHeight="1">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c r="AC729" s="124"/>
    </row>
    <row r="730" ht="13.5" customHeight="1">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c r="AC730" s="124"/>
    </row>
    <row r="731" ht="13.5" customHeight="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c r="AC731" s="124"/>
    </row>
    <row r="732" ht="13.5" customHeight="1">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c r="AC732" s="124"/>
    </row>
    <row r="733" ht="13.5" customHeight="1">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c r="AC733" s="124"/>
    </row>
    <row r="734" ht="13.5" customHeight="1">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c r="AC734" s="124"/>
    </row>
    <row r="735" ht="13.5" customHeight="1">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c r="AC735" s="124"/>
    </row>
    <row r="736" ht="13.5" customHeight="1">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c r="AC736" s="124"/>
    </row>
    <row r="737" ht="13.5" customHeight="1">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c r="AC737" s="124"/>
    </row>
    <row r="738" ht="13.5" customHeight="1">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c r="AC738" s="124"/>
    </row>
    <row r="739" ht="13.5" customHeight="1">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c r="AC739" s="124"/>
    </row>
    <row r="740" ht="13.5" customHeight="1">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c r="AC740" s="124"/>
    </row>
    <row r="741" ht="13.5" customHeight="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c r="AC741" s="124"/>
    </row>
    <row r="742" ht="13.5" customHeight="1">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c r="AC742" s="124"/>
    </row>
    <row r="743" ht="13.5" customHeight="1">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c r="AC743" s="124"/>
    </row>
    <row r="744" ht="13.5" customHeight="1">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c r="AC744" s="124"/>
    </row>
    <row r="745" ht="13.5" customHeight="1">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c r="AC745" s="124"/>
    </row>
    <row r="746" ht="13.5" customHeight="1">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c r="AC746" s="124"/>
    </row>
    <row r="747" ht="13.5" customHeight="1">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c r="AC747" s="124"/>
    </row>
    <row r="748" ht="13.5" customHeight="1">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c r="AC748" s="124"/>
    </row>
    <row r="749" ht="13.5" customHeight="1">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c r="AC749" s="124"/>
    </row>
    <row r="750" ht="13.5" customHeight="1">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c r="AC750" s="124"/>
    </row>
    <row r="751" ht="13.5" customHeight="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c r="AC751" s="124"/>
    </row>
    <row r="752" ht="13.5" customHeight="1">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c r="AC752" s="124"/>
    </row>
    <row r="753" ht="13.5" customHeight="1">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c r="AC753" s="124"/>
    </row>
    <row r="754" ht="13.5" customHeight="1">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c r="AC754" s="124"/>
    </row>
    <row r="755" ht="13.5" customHeight="1">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c r="AC755" s="124"/>
    </row>
    <row r="756" ht="13.5" customHeight="1">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c r="AC756" s="124"/>
    </row>
    <row r="757" ht="13.5" customHeight="1">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c r="AC757" s="124"/>
    </row>
    <row r="758" ht="13.5" customHeight="1">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c r="AC758" s="124"/>
    </row>
    <row r="759" ht="13.5" customHeight="1">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c r="AC759" s="124"/>
    </row>
    <row r="760" ht="13.5" customHeight="1">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c r="AC760" s="124"/>
    </row>
    <row r="761" ht="13.5" customHeight="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c r="AC761" s="124"/>
    </row>
    <row r="762" ht="13.5" customHeight="1">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c r="AC762" s="124"/>
    </row>
    <row r="763" ht="13.5" customHeight="1">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c r="AC763" s="124"/>
    </row>
    <row r="764" ht="13.5" customHeight="1">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c r="AC764" s="124"/>
    </row>
    <row r="765" ht="13.5" customHeight="1">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c r="AC765" s="124"/>
    </row>
    <row r="766" ht="13.5" customHeight="1">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c r="AC766" s="124"/>
    </row>
    <row r="767" ht="13.5" customHeight="1">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c r="AC767" s="124"/>
    </row>
    <row r="768" ht="13.5" customHeight="1">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c r="AC768" s="124"/>
    </row>
    <row r="769" ht="13.5" customHeight="1">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c r="AC769" s="124"/>
    </row>
    <row r="770" ht="13.5" customHeight="1">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c r="AC770" s="124"/>
    </row>
    <row r="771" ht="13.5" customHeight="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c r="AC771" s="124"/>
    </row>
    <row r="772" ht="13.5" customHeight="1">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c r="AC772" s="124"/>
    </row>
    <row r="773" ht="13.5" customHeight="1">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c r="AC773" s="124"/>
    </row>
    <row r="774" ht="13.5" customHeight="1">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c r="AC774" s="124"/>
    </row>
    <row r="775" ht="13.5" customHeight="1">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c r="AC775" s="124"/>
    </row>
    <row r="776" ht="13.5" customHeight="1">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c r="AC776" s="124"/>
    </row>
    <row r="777" ht="13.5" customHeight="1">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c r="AC777" s="124"/>
    </row>
    <row r="778" ht="13.5" customHeight="1">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c r="AC778" s="124"/>
    </row>
    <row r="779" ht="13.5" customHeight="1">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c r="AC779" s="124"/>
    </row>
    <row r="780" ht="13.5" customHeight="1">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c r="AC780" s="124"/>
    </row>
    <row r="781" ht="13.5" customHeight="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c r="AC781" s="124"/>
    </row>
    <row r="782" ht="13.5" customHeight="1">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c r="AC782" s="124"/>
    </row>
    <row r="783" ht="13.5" customHeight="1">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c r="AC783" s="124"/>
    </row>
    <row r="784" ht="13.5" customHeight="1">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c r="AC784" s="124"/>
    </row>
    <row r="785" ht="13.5" customHeight="1">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c r="AC785" s="124"/>
    </row>
    <row r="786" ht="13.5" customHeight="1">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c r="AC786" s="124"/>
    </row>
    <row r="787" ht="13.5" customHeight="1">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c r="AC787" s="124"/>
    </row>
    <row r="788" ht="13.5" customHeight="1">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c r="AC788" s="124"/>
    </row>
    <row r="789" ht="13.5" customHeight="1">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c r="AC789" s="124"/>
    </row>
    <row r="790" ht="13.5" customHeight="1">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c r="AC790" s="124"/>
    </row>
    <row r="791" ht="13.5" customHeight="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c r="AC791" s="124"/>
    </row>
    <row r="792" ht="13.5" customHeight="1">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c r="AC792" s="124"/>
    </row>
    <row r="793" ht="13.5" customHeight="1">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c r="AC793" s="124"/>
    </row>
    <row r="794" ht="13.5" customHeight="1">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c r="AC794" s="124"/>
    </row>
    <row r="795" ht="13.5" customHeight="1">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c r="AC795" s="124"/>
    </row>
    <row r="796" ht="13.5" customHeight="1">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c r="AC796" s="124"/>
    </row>
    <row r="797" ht="13.5" customHeight="1">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c r="AC797" s="124"/>
    </row>
    <row r="798" ht="13.5" customHeight="1">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c r="AC798" s="124"/>
    </row>
    <row r="799" ht="13.5" customHeight="1">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c r="AC799" s="124"/>
    </row>
    <row r="800" ht="13.5" customHeight="1">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c r="AC800" s="124"/>
    </row>
    <row r="801" ht="13.5" customHeight="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c r="AC801" s="124"/>
    </row>
    <row r="802" ht="13.5" customHeight="1">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c r="AC802" s="124"/>
    </row>
    <row r="803" ht="13.5" customHeight="1">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c r="AC803" s="124"/>
    </row>
    <row r="804" ht="13.5" customHeight="1">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c r="AC804" s="124"/>
    </row>
    <row r="805" ht="13.5" customHeight="1">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c r="AC805" s="124"/>
    </row>
    <row r="806" ht="13.5" customHeight="1">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c r="AC806" s="124"/>
    </row>
    <row r="807" ht="13.5" customHeight="1">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c r="AC807" s="124"/>
    </row>
    <row r="808" ht="13.5" customHeight="1">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c r="AC808" s="124"/>
    </row>
    <row r="809" ht="13.5" customHeight="1">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c r="AC809" s="124"/>
    </row>
    <row r="810" ht="13.5" customHeight="1">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c r="AC810" s="124"/>
    </row>
    <row r="811" ht="13.5" customHeight="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c r="AC811" s="124"/>
    </row>
    <row r="812" ht="13.5" customHeight="1">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c r="AC812" s="124"/>
    </row>
    <row r="813" ht="13.5" customHeight="1">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c r="AC813" s="124"/>
    </row>
    <row r="814" ht="13.5" customHeight="1">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c r="AC814" s="124"/>
    </row>
    <row r="815" ht="13.5" customHeight="1">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c r="AC815" s="124"/>
    </row>
    <row r="816" ht="13.5" customHeight="1">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c r="AC816" s="124"/>
    </row>
    <row r="817" ht="13.5" customHeight="1">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c r="AC817" s="124"/>
    </row>
    <row r="818" ht="13.5" customHeight="1">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c r="AC818" s="124"/>
    </row>
    <row r="819" ht="13.5" customHeight="1">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c r="AC819" s="124"/>
    </row>
    <row r="820" ht="13.5" customHeight="1">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c r="AC820" s="124"/>
    </row>
    <row r="821" ht="13.5" customHeight="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c r="AC821" s="124"/>
    </row>
    <row r="822" ht="13.5" customHeight="1">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c r="AC822" s="124"/>
    </row>
    <row r="823" ht="13.5" customHeight="1">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c r="AC823" s="124"/>
    </row>
    <row r="824" ht="13.5" customHeight="1">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c r="AC824" s="124"/>
    </row>
    <row r="825" ht="13.5" customHeight="1">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c r="AC825" s="124"/>
    </row>
    <row r="826" ht="13.5" customHeight="1">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c r="AC826" s="124"/>
    </row>
    <row r="827" ht="13.5" customHeight="1">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c r="AC827" s="124"/>
    </row>
    <row r="828" ht="13.5" customHeight="1">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c r="AC828" s="124"/>
    </row>
    <row r="829" ht="13.5" customHeight="1">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c r="AC829" s="124"/>
    </row>
    <row r="830" ht="13.5" customHeight="1">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c r="AC830" s="124"/>
    </row>
    <row r="831" ht="13.5" customHeight="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c r="AC831" s="124"/>
    </row>
    <row r="832" ht="13.5" customHeight="1">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c r="AC832" s="124"/>
    </row>
    <row r="833" ht="13.5" customHeight="1">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c r="AC833" s="124"/>
    </row>
    <row r="834" ht="13.5" customHeight="1">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c r="AC834" s="124"/>
    </row>
    <row r="835" ht="13.5" customHeight="1">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c r="AC835" s="124"/>
    </row>
    <row r="836" ht="13.5" customHeight="1">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c r="AC836" s="124"/>
    </row>
    <row r="837" ht="13.5" customHeight="1">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c r="AC837" s="124"/>
    </row>
    <row r="838" ht="13.5" customHeight="1">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c r="AC838" s="124"/>
    </row>
    <row r="839" ht="13.5" customHeight="1">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c r="AC839" s="124"/>
    </row>
    <row r="840" ht="13.5" customHeight="1">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c r="AC840" s="124"/>
    </row>
    <row r="841" ht="13.5" customHeight="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c r="AC841" s="124"/>
    </row>
    <row r="842" ht="13.5" customHeight="1">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c r="AC842" s="124"/>
    </row>
    <row r="843" ht="13.5" customHeight="1">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c r="AC843" s="124"/>
    </row>
    <row r="844" ht="13.5" customHeight="1">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c r="AC844" s="124"/>
    </row>
    <row r="845" ht="13.5" customHeight="1">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c r="AC845" s="124"/>
    </row>
    <row r="846" ht="13.5" customHeight="1">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c r="AC846" s="124"/>
    </row>
    <row r="847" ht="13.5" customHeight="1">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c r="AC847" s="124"/>
    </row>
    <row r="848" ht="13.5" customHeight="1">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c r="AC848" s="124"/>
    </row>
    <row r="849" ht="13.5" customHeight="1">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c r="AC849" s="124"/>
    </row>
    <row r="850" ht="13.5" customHeight="1">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c r="AC850" s="124"/>
    </row>
    <row r="851" ht="13.5" customHeight="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c r="AC851" s="124"/>
    </row>
    <row r="852" ht="13.5" customHeight="1">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c r="AC852" s="124"/>
    </row>
    <row r="853" ht="13.5" customHeight="1">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c r="AC853" s="124"/>
    </row>
    <row r="854" ht="13.5" customHeight="1">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c r="AC854" s="124"/>
    </row>
    <row r="855" ht="13.5" customHeight="1">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c r="AC855" s="124"/>
    </row>
    <row r="856" ht="13.5" customHeight="1">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c r="AC856" s="124"/>
    </row>
    <row r="857" ht="13.5" customHeight="1">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c r="AC857" s="124"/>
    </row>
    <row r="858" ht="13.5" customHeight="1">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c r="AC858" s="124"/>
    </row>
    <row r="859" ht="13.5" customHeight="1">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c r="AC859" s="124"/>
    </row>
    <row r="860" ht="13.5" customHeight="1">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c r="AC860" s="124"/>
    </row>
    <row r="861" ht="13.5" customHeight="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c r="AC861" s="124"/>
    </row>
    <row r="862" ht="13.5" customHeight="1">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c r="AC862" s="124"/>
    </row>
    <row r="863" ht="13.5" customHeight="1">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c r="AC863" s="124"/>
    </row>
    <row r="864" ht="13.5" customHeight="1">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c r="AC864" s="124"/>
    </row>
    <row r="865" ht="13.5" customHeight="1">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c r="AC865" s="124"/>
    </row>
    <row r="866" ht="13.5" customHeight="1">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c r="AC866" s="124"/>
    </row>
    <row r="867" ht="13.5" customHeight="1">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c r="AC867" s="124"/>
    </row>
    <row r="868" ht="13.5" customHeight="1">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c r="AC868" s="124"/>
    </row>
    <row r="869" ht="13.5" customHeight="1">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c r="AC869" s="124"/>
    </row>
    <row r="870" ht="13.5" customHeight="1">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c r="AC870" s="124"/>
    </row>
    <row r="871" ht="13.5" customHeight="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c r="AC871" s="124"/>
    </row>
    <row r="872" ht="13.5" customHeight="1">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c r="AC872" s="124"/>
    </row>
    <row r="873" ht="13.5" customHeight="1">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c r="AC873" s="124"/>
    </row>
    <row r="874" ht="13.5" customHeight="1">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c r="AC874" s="124"/>
    </row>
    <row r="875" ht="13.5" customHeight="1">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c r="AC875" s="124"/>
    </row>
    <row r="876" ht="13.5" customHeight="1">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c r="AC876" s="124"/>
    </row>
    <row r="877" ht="13.5" customHeight="1">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c r="AC877" s="124"/>
    </row>
    <row r="878" ht="13.5" customHeight="1">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c r="AC878" s="124"/>
    </row>
    <row r="879" ht="13.5" customHeight="1">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c r="AC879" s="124"/>
    </row>
    <row r="880" ht="13.5" customHeight="1">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c r="AC880" s="124"/>
    </row>
    <row r="881" ht="13.5" customHeight="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c r="AC881" s="124"/>
    </row>
    <row r="882" ht="13.5" customHeight="1">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c r="AC882" s="124"/>
    </row>
    <row r="883" ht="13.5" customHeight="1">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c r="AC883" s="124"/>
    </row>
    <row r="884" ht="13.5" customHeight="1">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c r="AC884" s="124"/>
    </row>
    <row r="885" ht="13.5" customHeight="1">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c r="AC885" s="124"/>
    </row>
    <row r="886" ht="13.5" customHeight="1">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c r="AC886" s="124"/>
    </row>
    <row r="887" ht="13.5" customHeight="1">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c r="AC887" s="124"/>
    </row>
    <row r="888" ht="13.5" customHeight="1">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c r="AC888" s="124"/>
    </row>
    <row r="889" ht="13.5" customHeight="1">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c r="AC889" s="124"/>
    </row>
    <row r="890" ht="13.5" customHeight="1">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c r="AC890" s="124"/>
    </row>
    <row r="891" ht="13.5" customHeight="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c r="AC891" s="124"/>
    </row>
    <row r="892" ht="13.5" customHeight="1">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c r="AC892" s="124"/>
    </row>
    <row r="893" ht="13.5" customHeight="1">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c r="AC893" s="124"/>
    </row>
    <row r="894" ht="13.5" customHeight="1">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c r="AC894" s="124"/>
    </row>
    <row r="895" ht="13.5" customHeight="1">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c r="AC895" s="124"/>
    </row>
    <row r="896" ht="13.5" customHeight="1">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c r="AC896" s="124"/>
    </row>
    <row r="897" ht="13.5" customHeight="1">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c r="AC897" s="124"/>
    </row>
    <row r="898" ht="13.5" customHeight="1">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c r="AC898" s="124"/>
    </row>
    <row r="899" ht="13.5" customHeight="1">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c r="AC899" s="124"/>
    </row>
    <row r="900" ht="13.5" customHeight="1">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c r="AC900" s="124"/>
    </row>
    <row r="901" ht="13.5" customHeight="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c r="AC901" s="124"/>
    </row>
    <row r="902" ht="13.5" customHeight="1">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c r="AC902" s="124"/>
    </row>
    <row r="903" ht="13.5" customHeight="1">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c r="AC903" s="124"/>
    </row>
    <row r="904" ht="13.5" customHeight="1">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c r="AC904" s="124"/>
    </row>
    <row r="905" ht="13.5" customHeight="1">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c r="AC905" s="124"/>
    </row>
    <row r="906" ht="13.5" customHeight="1">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c r="AC906" s="124"/>
    </row>
    <row r="907" ht="13.5" customHeight="1">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c r="AC907" s="124"/>
    </row>
    <row r="908" ht="13.5" customHeight="1">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c r="AC908" s="124"/>
    </row>
    <row r="909" ht="13.5" customHeight="1">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c r="AC909" s="124"/>
    </row>
    <row r="910" ht="13.5" customHeight="1">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c r="AC910" s="124"/>
    </row>
    <row r="911" ht="13.5" customHeight="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c r="AC911" s="124"/>
    </row>
    <row r="912" ht="13.5" customHeight="1">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c r="AC912" s="124"/>
    </row>
    <row r="913" ht="13.5" customHeight="1">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c r="AC913" s="124"/>
    </row>
    <row r="914" ht="13.5" customHeight="1">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c r="AC914" s="124"/>
    </row>
    <row r="915" ht="13.5" customHeight="1">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c r="AC915" s="124"/>
    </row>
    <row r="916" ht="13.5" customHeight="1">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c r="AC916" s="124"/>
    </row>
    <row r="917" ht="13.5" customHeight="1">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c r="AC917" s="124"/>
    </row>
    <row r="918" ht="13.5" customHeight="1">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c r="AC918" s="124"/>
    </row>
    <row r="919" ht="13.5" customHeight="1">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c r="AC919" s="124"/>
    </row>
    <row r="920" ht="13.5" customHeight="1">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c r="AC920" s="124"/>
    </row>
    <row r="921" ht="13.5" customHeight="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c r="AC921" s="124"/>
    </row>
    <row r="922" ht="13.5" customHeight="1">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c r="AC922" s="124"/>
    </row>
    <row r="923" ht="13.5" customHeight="1">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c r="AC923" s="124"/>
    </row>
    <row r="924" ht="13.5" customHeight="1">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c r="AC924" s="124"/>
    </row>
    <row r="925" ht="13.5" customHeight="1">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c r="AC925" s="124"/>
    </row>
    <row r="926" ht="13.5" customHeight="1">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c r="AC926" s="124"/>
    </row>
    <row r="927" ht="13.5" customHeight="1">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c r="AC927" s="124"/>
    </row>
    <row r="928" ht="13.5" customHeight="1">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c r="AC928" s="124"/>
    </row>
    <row r="929" ht="13.5" customHeight="1">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c r="AC929" s="124"/>
    </row>
    <row r="930" ht="13.5" customHeight="1">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c r="AC930" s="124"/>
    </row>
    <row r="931" ht="13.5" customHeight="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c r="AC931" s="124"/>
    </row>
    <row r="932" ht="13.5" customHeight="1">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c r="AC932" s="124"/>
    </row>
    <row r="933" ht="13.5" customHeight="1">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c r="AC933" s="124"/>
    </row>
    <row r="934" ht="13.5" customHeight="1">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c r="AC934" s="124"/>
    </row>
    <row r="935" ht="13.5" customHeight="1">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c r="AC935" s="124"/>
    </row>
    <row r="936" ht="13.5" customHeight="1">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c r="AC936" s="124"/>
    </row>
    <row r="937" ht="13.5" customHeight="1">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c r="AC937" s="124"/>
    </row>
    <row r="938" ht="13.5" customHeight="1">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c r="AC938" s="124"/>
    </row>
    <row r="939" ht="13.5" customHeight="1">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c r="AC939" s="124"/>
    </row>
    <row r="940" ht="13.5" customHeight="1">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c r="AC940" s="124"/>
    </row>
    <row r="941" ht="13.5" customHeight="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c r="AC941" s="124"/>
    </row>
    <row r="942" ht="13.5" customHeight="1">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c r="AC942" s="124"/>
    </row>
    <row r="943" ht="13.5" customHeight="1">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c r="AC943" s="124"/>
    </row>
    <row r="944" ht="13.5" customHeight="1">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c r="AC944" s="124"/>
    </row>
    <row r="945" ht="13.5" customHeight="1">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c r="AC945" s="124"/>
    </row>
    <row r="946" ht="13.5" customHeight="1">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c r="AC946" s="124"/>
    </row>
    <row r="947" ht="13.5" customHeight="1">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c r="AC947" s="124"/>
    </row>
    <row r="948" ht="13.5" customHeight="1">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c r="AC948" s="124"/>
    </row>
    <row r="949" ht="13.5" customHeight="1">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c r="AC949" s="124"/>
    </row>
    <row r="950" ht="13.5" customHeight="1">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c r="AC950" s="124"/>
    </row>
    <row r="951" ht="13.5" customHeight="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c r="AC951" s="124"/>
    </row>
    <row r="952" ht="13.5" customHeight="1">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c r="AC952" s="124"/>
    </row>
    <row r="953" ht="13.5" customHeight="1">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c r="AC953" s="124"/>
    </row>
    <row r="954" ht="13.5" customHeight="1">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c r="AC954" s="124"/>
    </row>
    <row r="955" ht="13.5" customHeight="1">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c r="AC955" s="124"/>
    </row>
    <row r="956" ht="13.5" customHeight="1">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c r="AC956" s="124"/>
    </row>
    <row r="957" ht="13.5" customHeight="1">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c r="AC957" s="124"/>
    </row>
    <row r="958" ht="13.5" customHeight="1">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c r="AC958" s="124"/>
    </row>
    <row r="959" ht="13.5" customHeight="1">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c r="AC959" s="124"/>
    </row>
    <row r="960" ht="13.5" customHeight="1">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c r="AC960" s="124"/>
    </row>
    <row r="961" ht="13.5" customHeight="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c r="AC961" s="124"/>
    </row>
    <row r="962" ht="13.5" customHeight="1">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c r="AC962" s="124"/>
    </row>
    <row r="963" ht="13.5" customHeight="1">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c r="AC963" s="124"/>
    </row>
    <row r="964" ht="13.5" customHeight="1">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c r="AC964" s="124"/>
    </row>
    <row r="965" ht="13.5" customHeight="1">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c r="AC965" s="124"/>
    </row>
    <row r="966" ht="13.5" customHeight="1">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c r="AC966" s="124"/>
    </row>
    <row r="967" ht="13.5" customHeight="1">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c r="AC967" s="124"/>
    </row>
    <row r="968" ht="13.5" customHeight="1">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c r="AC968" s="124"/>
    </row>
    <row r="969" ht="13.5" customHeight="1">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c r="AC969" s="124"/>
    </row>
    <row r="970" ht="13.5" customHeight="1">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c r="AC970" s="124"/>
    </row>
    <row r="971" ht="13.5" customHeight="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c r="AC971" s="124"/>
    </row>
    <row r="972" ht="13.5" customHeight="1">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c r="AC972" s="124"/>
    </row>
    <row r="973" ht="13.5" customHeight="1">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c r="AC973" s="124"/>
    </row>
    <row r="974" ht="13.5" customHeight="1">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c r="AC974" s="124"/>
    </row>
    <row r="975" ht="13.5" customHeight="1">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c r="AC975" s="124"/>
    </row>
    <row r="976" ht="13.5" customHeight="1">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c r="AC976" s="124"/>
    </row>
    <row r="977" ht="13.5" customHeight="1">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c r="AC977" s="124"/>
    </row>
    <row r="978" ht="13.5" customHeight="1">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c r="AC978" s="124"/>
    </row>
    <row r="979" ht="13.5" customHeight="1">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c r="AC979" s="124"/>
    </row>
    <row r="980" ht="13.5" customHeight="1">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c r="AC980" s="124"/>
    </row>
    <row r="981" ht="13.5" customHeight="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c r="AC981" s="124"/>
    </row>
    <row r="982" ht="13.5" customHeight="1">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c r="AC982" s="124"/>
    </row>
    <row r="983" ht="13.5" customHeight="1">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c r="AC983" s="124"/>
    </row>
    <row r="984" ht="13.5" customHeight="1">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c r="AC984" s="124"/>
    </row>
    <row r="985" ht="13.5" customHeight="1">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c r="AC985" s="124"/>
    </row>
    <row r="986" ht="13.5" customHeight="1">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c r="AC986" s="124"/>
    </row>
    <row r="987" ht="13.5" customHeight="1">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c r="AC987" s="124"/>
    </row>
    <row r="988" ht="13.5" customHeight="1">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c r="AC988" s="124"/>
    </row>
    <row r="989" ht="13.5" customHeight="1">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c r="AC989" s="124"/>
    </row>
    <row r="990" ht="13.5" customHeight="1">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c r="AC990" s="124"/>
    </row>
    <row r="991" ht="13.5" customHeight="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c r="AC991" s="124"/>
    </row>
    <row r="992" ht="13.5" customHeight="1">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c r="AC992" s="124"/>
    </row>
    <row r="993" ht="13.5" customHeight="1">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c r="AC993" s="124"/>
    </row>
    <row r="994" ht="13.5" customHeight="1">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c r="AC994" s="124"/>
    </row>
    <row r="995" ht="13.5" customHeight="1">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c r="AC995" s="124"/>
    </row>
    <row r="996" ht="13.5" customHeight="1">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c r="AC996" s="124"/>
    </row>
    <row r="997" ht="13.5" customHeight="1">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c r="AC997" s="124"/>
    </row>
    <row r="998" ht="13.5" customHeight="1">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c r="AC998" s="124"/>
    </row>
    <row r="999" ht="13.5" customHeight="1">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c r="AC999" s="124"/>
    </row>
    <row r="1000" ht="13.5" customHeight="1">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c r="AB1000" s="124"/>
      <c r="AC1000" s="124"/>
    </row>
  </sheetData>
  <mergeCells count="3">
    <mergeCell ref="E2:J4"/>
    <mergeCell ref="W4:Z5"/>
    <mergeCell ref="AA10:AC10"/>
  </mergeCells>
  <printOptions/>
  <pageMargins bottom="0.75" footer="0.0" header="0.0" left="0.7" right="0.7" top="0.75"/>
  <pageSetup orientation="landscape"/>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13.86"/>
    <col customWidth="1" min="4" max="4" width="26.86"/>
    <col customWidth="1" min="5" max="5" width="15.86"/>
    <col customWidth="1" min="6" max="6" width="20.71"/>
    <col customWidth="1" min="7" max="7" width="32.71"/>
    <col customWidth="1" min="8" max="8" width="29.43"/>
    <col customWidth="1" min="9" max="9" width="25.57"/>
    <col customWidth="1" min="10" max="10" width="14.57"/>
    <col customWidth="1" min="11" max="13" width="8.86"/>
    <col customWidth="1" min="14" max="14" width="34.0"/>
    <col customWidth="1" min="15" max="15" width="26.86"/>
    <col customWidth="1" min="16" max="16" width="26.57"/>
    <col customWidth="1" min="17" max="17" width="15.86"/>
    <col customWidth="1" min="18" max="23" width="8.86"/>
    <col customWidth="1" min="24" max="24" width="14.0"/>
    <col customWidth="1" min="25" max="25" width="17.86"/>
    <col customWidth="1" min="26" max="26" width="15.57"/>
    <col customWidth="1" min="27" max="29" width="8.86"/>
  </cols>
  <sheetData>
    <row r="1" ht="13.5" customHeight="1">
      <c r="A1" s="124"/>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c r="AC1" s="124"/>
    </row>
    <row r="2" ht="13.5" customHeight="1">
      <c r="A2" s="124"/>
      <c r="B2" s="124"/>
      <c r="C2" s="124"/>
      <c r="D2" s="124"/>
      <c r="E2" s="150" t="s">
        <v>963</v>
      </c>
      <c r="F2" s="79"/>
      <c r="G2" s="79"/>
      <c r="H2" s="79"/>
      <c r="I2" s="79"/>
      <c r="J2" s="80"/>
      <c r="K2" s="124"/>
      <c r="L2" s="124"/>
      <c r="M2" s="124"/>
      <c r="N2" s="124"/>
      <c r="O2" s="124"/>
      <c r="P2" s="124"/>
      <c r="Q2" s="124"/>
      <c r="R2" s="124"/>
      <c r="S2" s="124"/>
      <c r="T2" s="124"/>
      <c r="U2" s="124"/>
      <c r="V2" s="124"/>
      <c r="W2" s="124"/>
      <c r="X2" s="124"/>
      <c r="Y2" s="124"/>
      <c r="Z2" s="124"/>
      <c r="AA2" s="124"/>
      <c r="AB2" s="124"/>
      <c r="AC2" s="124"/>
    </row>
    <row r="3" ht="13.5" customHeight="1">
      <c r="A3" s="124"/>
      <c r="B3" s="124"/>
      <c r="C3" s="124"/>
      <c r="D3" s="124"/>
      <c r="E3" s="81"/>
      <c r="J3" s="82"/>
      <c r="K3" s="124"/>
      <c r="L3" s="124"/>
      <c r="M3" s="124"/>
      <c r="N3" s="124"/>
      <c r="O3" s="124"/>
      <c r="P3" s="124"/>
      <c r="Q3" s="124"/>
      <c r="R3" s="124"/>
      <c r="S3" s="124"/>
      <c r="T3" s="124"/>
      <c r="U3" s="124"/>
      <c r="V3" s="124"/>
      <c r="W3" s="124"/>
      <c r="X3" s="124"/>
      <c r="Y3" s="124"/>
      <c r="Z3" s="124"/>
      <c r="AA3" s="124"/>
      <c r="AB3" s="124"/>
      <c r="AC3" s="124"/>
    </row>
    <row r="4" ht="13.5" customHeight="1">
      <c r="A4" s="124"/>
      <c r="B4" s="124"/>
      <c r="C4" s="124"/>
      <c r="D4" s="124"/>
      <c r="E4" s="83"/>
      <c r="F4" s="84"/>
      <c r="G4" s="84"/>
      <c r="H4" s="84"/>
      <c r="I4" s="84"/>
      <c r="J4" s="85"/>
      <c r="K4" s="124"/>
      <c r="L4" s="124"/>
      <c r="M4" s="124"/>
      <c r="N4" s="124"/>
      <c r="O4" s="124"/>
      <c r="P4" s="124"/>
      <c r="Q4" s="124"/>
      <c r="R4" s="124"/>
      <c r="S4" s="124"/>
      <c r="T4" s="124"/>
      <c r="U4" s="124"/>
      <c r="V4" s="124"/>
      <c r="W4" s="86" t="s">
        <v>615</v>
      </c>
      <c r="X4" s="79"/>
      <c r="Y4" s="79"/>
      <c r="Z4" s="80"/>
      <c r="AA4" s="124"/>
      <c r="AB4" s="124"/>
      <c r="AC4" s="124"/>
    </row>
    <row r="5" ht="13.5" customHeight="1">
      <c r="A5" s="124"/>
      <c r="B5" s="124"/>
      <c r="C5" s="124"/>
      <c r="D5" s="124"/>
      <c r="E5" s="124"/>
      <c r="F5" s="124"/>
      <c r="G5" s="124"/>
      <c r="H5" s="124"/>
      <c r="I5" s="124"/>
      <c r="J5" s="124"/>
      <c r="K5" s="124"/>
      <c r="L5" s="124"/>
      <c r="M5" s="124"/>
      <c r="N5" s="124"/>
      <c r="O5" s="124"/>
      <c r="P5" s="124"/>
      <c r="Q5" s="124"/>
      <c r="R5" s="124"/>
      <c r="S5" s="124"/>
      <c r="T5" s="124"/>
      <c r="U5" s="124"/>
      <c r="V5" s="124"/>
      <c r="W5" s="83"/>
      <c r="X5" s="84"/>
      <c r="Y5" s="84"/>
      <c r="Z5" s="85"/>
      <c r="AA5" s="124"/>
      <c r="AB5" s="124"/>
      <c r="AC5" s="124"/>
    </row>
    <row r="6" ht="13.5" customHeight="1">
      <c r="A6" s="124"/>
      <c r="B6" s="124"/>
      <c r="C6" s="120" t="s">
        <v>293</v>
      </c>
      <c r="D6" s="121" t="s">
        <v>295</v>
      </c>
      <c r="E6" s="121" t="s">
        <v>296</v>
      </c>
      <c r="F6" s="121" t="s">
        <v>297</v>
      </c>
      <c r="G6" s="121" t="s">
        <v>709</v>
      </c>
      <c r="H6" s="121" t="s">
        <v>298</v>
      </c>
      <c r="I6" s="121" t="s">
        <v>299</v>
      </c>
      <c r="J6" s="121" t="s">
        <v>619</v>
      </c>
      <c r="K6" s="122" t="s">
        <v>301</v>
      </c>
      <c r="L6" s="122" t="s">
        <v>681</v>
      </c>
      <c r="M6" s="122" t="s">
        <v>682</v>
      </c>
      <c r="N6" s="122" t="s">
        <v>621</v>
      </c>
      <c r="O6" s="122" t="s">
        <v>405</v>
      </c>
      <c r="P6" s="123" t="s">
        <v>622</v>
      </c>
      <c r="Q6" s="88" t="s">
        <v>624</v>
      </c>
      <c r="R6" s="92"/>
      <c r="S6" s="92"/>
      <c r="T6" s="92"/>
      <c r="U6" s="124"/>
      <c r="V6" s="124"/>
      <c r="W6" s="92" t="s">
        <v>636</v>
      </c>
      <c r="X6" s="92" t="s">
        <v>854</v>
      </c>
      <c r="Y6" s="125" t="s">
        <v>855</v>
      </c>
      <c r="Z6" s="92" t="s">
        <v>856</v>
      </c>
      <c r="AA6" s="124"/>
      <c r="AB6" s="124"/>
      <c r="AC6" s="124"/>
    </row>
    <row r="7" ht="13.5" customHeight="1">
      <c r="A7" s="124"/>
      <c r="B7" s="124"/>
      <c r="C7" s="124">
        <v>1.0</v>
      </c>
      <c r="D7" s="91" t="s">
        <v>528</v>
      </c>
      <c r="E7" s="110" t="s">
        <v>304</v>
      </c>
      <c r="F7" s="110" t="s">
        <v>154</v>
      </c>
      <c r="G7" s="127">
        <v>45700.0</v>
      </c>
      <c r="H7" s="110" t="s">
        <v>964</v>
      </c>
      <c r="I7" s="153" t="s">
        <v>965</v>
      </c>
      <c r="J7" s="110">
        <v>92000.0</v>
      </c>
      <c r="K7" s="110">
        <v>84300.0</v>
      </c>
      <c r="L7" s="110"/>
      <c r="M7" s="110"/>
      <c r="N7" s="92" t="s">
        <v>966</v>
      </c>
      <c r="O7" s="110">
        <v>7700.0</v>
      </c>
      <c r="P7" s="110">
        <v>7700.0</v>
      </c>
      <c r="Q7" s="92"/>
      <c r="R7" s="92"/>
      <c r="S7" s="92"/>
      <c r="T7" s="92"/>
      <c r="U7" s="124"/>
      <c r="V7" s="124"/>
      <c r="W7" s="92">
        <v>4090.0</v>
      </c>
      <c r="X7" s="92" t="s">
        <v>692</v>
      </c>
      <c r="Y7" s="125" t="s">
        <v>967</v>
      </c>
      <c r="Z7" s="92" t="s">
        <v>355</v>
      </c>
      <c r="AA7" s="124"/>
      <c r="AB7" s="124"/>
      <c r="AC7" s="124"/>
    </row>
    <row r="8" ht="13.5" customHeight="1">
      <c r="A8" s="124"/>
      <c r="B8" s="124"/>
      <c r="C8" s="124">
        <v>2.0</v>
      </c>
      <c r="D8" s="91" t="s">
        <v>529</v>
      </c>
      <c r="E8" s="110" t="s">
        <v>304</v>
      </c>
      <c r="F8" s="110" t="s">
        <v>482</v>
      </c>
      <c r="G8" s="194">
        <v>45759.0</v>
      </c>
      <c r="H8" s="110" t="s">
        <v>968</v>
      </c>
      <c r="I8" s="153" t="s">
        <v>414</v>
      </c>
      <c r="J8" s="92">
        <v>25000.0</v>
      </c>
      <c r="K8" s="145">
        <v>5000.0</v>
      </c>
      <c r="L8" s="97"/>
      <c r="M8" s="97"/>
      <c r="N8" s="92" t="s">
        <v>969</v>
      </c>
      <c r="O8" s="110">
        <v>20000.0</v>
      </c>
      <c r="P8" s="110"/>
      <c r="Q8" s="92"/>
      <c r="R8" s="92"/>
      <c r="S8" s="92"/>
      <c r="T8" s="92"/>
      <c r="U8" s="124"/>
      <c r="V8" s="124"/>
      <c r="W8" s="92">
        <v>1600.0</v>
      </c>
      <c r="X8" s="92" t="s">
        <v>970</v>
      </c>
      <c r="Y8" s="185">
        <v>45992.0</v>
      </c>
      <c r="Z8" s="92" t="s">
        <v>304</v>
      </c>
      <c r="AA8" s="124"/>
      <c r="AB8" s="124"/>
      <c r="AC8" s="124"/>
    </row>
    <row r="9" ht="13.5" customHeight="1">
      <c r="A9" s="124"/>
      <c r="B9" s="124"/>
      <c r="C9" s="124">
        <v>3.0</v>
      </c>
      <c r="D9" s="91" t="s">
        <v>971</v>
      </c>
      <c r="E9" s="110" t="s">
        <v>304</v>
      </c>
      <c r="F9" s="110" t="s">
        <v>451</v>
      </c>
      <c r="G9" s="154" t="s">
        <v>972</v>
      </c>
      <c r="H9" s="110"/>
      <c r="I9" s="153" t="s">
        <v>414</v>
      </c>
      <c r="J9" s="110">
        <v>275000.0</v>
      </c>
      <c r="K9" s="110">
        <v>150000.0</v>
      </c>
      <c r="L9" s="110"/>
      <c r="M9" s="110"/>
      <c r="N9" s="92"/>
      <c r="O9" s="196"/>
      <c r="P9" s="110"/>
      <c r="Q9" s="92"/>
      <c r="R9" s="92"/>
      <c r="S9" s="92"/>
      <c r="T9" s="92"/>
      <c r="U9" s="124"/>
      <c r="V9" s="124"/>
      <c r="W9" s="92">
        <v>1950.0</v>
      </c>
      <c r="X9" s="92" t="s">
        <v>475</v>
      </c>
      <c r="Y9" s="185">
        <v>45992.0</v>
      </c>
      <c r="Z9" s="92" t="s">
        <v>304</v>
      </c>
      <c r="AA9" s="124"/>
      <c r="AB9" s="124"/>
      <c r="AC9" s="124"/>
    </row>
    <row r="10" ht="13.5" customHeight="1">
      <c r="A10" s="124"/>
      <c r="B10" s="124"/>
      <c r="C10" s="199"/>
      <c r="D10" s="91" t="s">
        <v>973</v>
      </c>
      <c r="E10" s="92" t="s">
        <v>304</v>
      </c>
      <c r="F10" s="92" t="s">
        <v>510</v>
      </c>
      <c r="G10" s="185" t="s">
        <v>367</v>
      </c>
      <c r="H10" s="92" t="s">
        <v>449</v>
      </c>
      <c r="I10" s="157" t="s">
        <v>414</v>
      </c>
      <c r="J10" s="92">
        <v>100000.0</v>
      </c>
      <c r="K10" s="92">
        <v>80000.0</v>
      </c>
      <c r="L10" s="92"/>
      <c r="M10" s="92"/>
      <c r="N10" s="92" t="s">
        <v>974</v>
      </c>
      <c r="O10" s="97">
        <v>20000.0</v>
      </c>
      <c r="P10" s="92"/>
      <c r="Q10" s="92"/>
      <c r="R10" s="92"/>
      <c r="S10" s="92"/>
      <c r="T10" s="92"/>
      <c r="U10" s="124"/>
      <c r="V10" s="124"/>
      <c r="W10" s="92">
        <v>8760.0</v>
      </c>
      <c r="X10" s="92" t="s">
        <v>928</v>
      </c>
      <c r="Y10" s="185">
        <v>45992.0</v>
      </c>
      <c r="Z10" s="92" t="s">
        <v>638</v>
      </c>
      <c r="AA10" s="124" t="s">
        <v>975</v>
      </c>
      <c r="AB10" s="124"/>
      <c r="AC10" s="124"/>
    </row>
    <row r="11" ht="13.5" customHeight="1">
      <c r="A11" s="124"/>
      <c r="B11" s="124"/>
      <c r="C11" s="124">
        <v>4.0</v>
      </c>
      <c r="D11" s="91" t="s">
        <v>976</v>
      </c>
      <c r="E11" s="110" t="s">
        <v>304</v>
      </c>
      <c r="F11" s="110" t="s">
        <v>533</v>
      </c>
      <c r="G11" s="154">
        <v>46000.0</v>
      </c>
      <c r="H11" s="110" t="s">
        <v>977</v>
      </c>
      <c r="I11" s="153" t="s">
        <v>414</v>
      </c>
      <c r="J11" s="110">
        <v>30000.0</v>
      </c>
      <c r="K11" s="189">
        <v>22000.0</v>
      </c>
      <c r="L11" s="110"/>
      <c r="M11" s="110"/>
      <c r="N11" s="92" t="s">
        <v>978</v>
      </c>
      <c r="O11" s="152">
        <v>8000.0</v>
      </c>
      <c r="P11" s="110"/>
      <c r="Q11" s="92"/>
      <c r="R11" s="110"/>
      <c r="S11" s="110"/>
      <c r="T11" s="110"/>
      <c r="U11" s="124"/>
      <c r="V11" s="124"/>
      <c r="W11" s="92"/>
      <c r="X11" s="92"/>
      <c r="Y11" s="191"/>
      <c r="Z11" s="92"/>
      <c r="AA11" s="197"/>
    </row>
    <row r="12" ht="13.5" customHeight="1">
      <c r="A12" s="124"/>
      <c r="B12" s="124"/>
      <c r="C12" s="124">
        <v>5.0</v>
      </c>
      <c r="D12" s="91" t="s">
        <v>979</v>
      </c>
      <c r="E12" s="92" t="s">
        <v>355</v>
      </c>
      <c r="F12" s="92" t="s">
        <v>980</v>
      </c>
      <c r="G12" s="185">
        <v>46003.0</v>
      </c>
      <c r="H12" s="92" t="s">
        <v>981</v>
      </c>
      <c r="I12" s="157" t="s">
        <v>982</v>
      </c>
      <c r="J12" s="92">
        <v>66000.0</v>
      </c>
      <c r="K12" s="92">
        <v>63000.0</v>
      </c>
      <c r="L12" s="92"/>
      <c r="M12" s="92"/>
      <c r="N12" s="92" t="s">
        <v>983</v>
      </c>
      <c r="O12" s="92">
        <v>3000.0</v>
      </c>
      <c r="P12" s="92"/>
      <c r="Q12" s="92"/>
      <c r="R12" s="110"/>
      <c r="S12" s="110"/>
      <c r="T12" s="110"/>
      <c r="U12" s="124"/>
      <c r="V12" s="124"/>
      <c r="W12" s="92"/>
      <c r="X12" s="92"/>
      <c r="Y12" s="185"/>
      <c r="Z12" s="92"/>
      <c r="AA12" s="124"/>
      <c r="AB12" s="124"/>
      <c r="AC12" s="124"/>
    </row>
    <row r="13" ht="14.25" customHeight="1">
      <c r="A13" s="124"/>
      <c r="B13" s="124"/>
      <c r="C13" s="124">
        <v>6.0</v>
      </c>
      <c r="D13" s="91" t="s">
        <v>984</v>
      </c>
      <c r="E13" s="92" t="s">
        <v>355</v>
      </c>
      <c r="F13" s="92" t="s">
        <v>985</v>
      </c>
      <c r="G13" s="145" t="s">
        <v>986</v>
      </c>
      <c r="H13" s="186" t="s">
        <v>987</v>
      </c>
      <c r="I13" s="156" t="s">
        <v>441</v>
      </c>
      <c r="J13" s="145">
        <v>58000.0</v>
      </c>
      <c r="K13" s="97">
        <v>42000.0</v>
      </c>
      <c r="L13" s="97"/>
      <c r="M13" s="97"/>
      <c r="N13" s="92" t="s">
        <v>988</v>
      </c>
      <c r="O13" s="187">
        <v>16000.0</v>
      </c>
      <c r="P13" s="92"/>
      <c r="Q13" s="92"/>
      <c r="R13" s="110"/>
      <c r="S13" s="110"/>
      <c r="T13" s="110"/>
      <c r="U13" s="124"/>
      <c r="V13" s="124"/>
      <c r="W13" s="92"/>
      <c r="X13" s="92"/>
      <c r="Y13" s="185"/>
      <c r="Z13" s="92"/>
      <c r="AA13" s="124"/>
      <c r="AB13" s="124"/>
      <c r="AC13" s="124"/>
    </row>
    <row r="14" ht="13.5" customHeight="1">
      <c r="A14" s="124"/>
      <c r="B14" s="124"/>
      <c r="C14" s="124">
        <v>7.0</v>
      </c>
      <c r="D14" s="91" t="s">
        <v>989</v>
      </c>
      <c r="E14" s="110" t="s">
        <v>304</v>
      </c>
      <c r="F14" s="110" t="s">
        <v>154</v>
      </c>
      <c r="G14" s="193"/>
      <c r="H14" s="110" t="s">
        <v>987</v>
      </c>
      <c r="I14" s="157" t="s">
        <v>441</v>
      </c>
      <c r="J14" s="145">
        <v>15500.0</v>
      </c>
      <c r="K14" s="97">
        <v>15500.0</v>
      </c>
      <c r="L14" s="97"/>
      <c r="M14" s="97"/>
      <c r="N14" s="92" t="s">
        <v>990</v>
      </c>
      <c r="O14" s="198">
        <v>0.0</v>
      </c>
      <c r="P14" s="110"/>
      <c r="Q14" s="92"/>
      <c r="R14" s="110"/>
      <c r="S14" s="110"/>
      <c r="T14" s="110"/>
      <c r="U14" s="124"/>
      <c r="V14" s="124"/>
      <c r="W14" s="187"/>
      <c r="X14" s="187"/>
      <c r="Y14" s="188"/>
      <c r="Z14" s="187"/>
      <c r="AA14" s="124"/>
      <c r="AB14" s="124"/>
      <c r="AC14" s="124"/>
    </row>
    <row r="15" ht="13.5" customHeight="1">
      <c r="A15" s="124"/>
      <c r="B15" s="124"/>
      <c r="C15" s="124">
        <v>8.0</v>
      </c>
      <c r="D15" s="91" t="s">
        <v>991</v>
      </c>
      <c r="E15" s="110" t="s">
        <v>355</v>
      </c>
      <c r="F15" s="110" t="s">
        <v>992</v>
      </c>
      <c r="G15" s="194" t="s">
        <v>993</v>
      </c>
      <c r="H15" s="110" t="s">
        <v>690</v>
      </c>
      <c r="I15" s="153" t="s">
        <v>441</v>
      </c>
      <c r="J15" s="110"/>
      <c r="K15" s="110"/>
      <c r="L15" s="110"/>
      <c r="M15" s="110"/>
      <c r="N15" s="92"/>
      <c r="O15" s="110"/>
      <c r="P15" s="110"/>
      <c r="Q15" s="92"/>
      <c r="R15" s="110"/>
      <c r="S15" s="110"/>
      <c r="T15" s="110"/>
      <c r="U15" s="124"/>
      <c r="V15" s="124"/>
      <c r="W15" s="92"/>
      <c r="X15" s="92"/>
      <c r="Y15" s="145"/>
      <c r="Z15" s="92"/>
      <c r="AA15" s="124"/>
      <c r="AB15" s="124"/>
      <c r="AC15" s="124"/>
    </row>
    <row r="16" ht="13.5" customHeight="1">
      <c r="A16" s="124"/>
      <c r="B16" s="124"/>
      <c r="C16" s="124">
        <v>9.0</v>
      </c>
      <c r="D16" s="91" t="s">
        <v>994</v>
      </c>
      <c r="E16" s="110" t="s">
        <v>304</v>
      </c>
      <c r="F16" s="110" t="s">
        <v>995</v>
      </c>
      <c r="G16" s="195"/>
      <c r="H16" s="110" t="s">
        <v>987</v>
      </c>
      <c r="I16" s="153" t="s">
        <v>441</v>
      </c>
      <c r="J16" s="92">
        <v>53000.0</v>
      </c>
      <c r="K16" s="110">
        <v>425000.0</v>
      </c>
      <c r="L16" s="110"/>
      <c r="M16" s="110"/>
      <c r="N16" s="92" t="s">
        <v>996</v>
      </c>
      <c r="O16" s="110">
        <v>10500.0</v>
      </c>
      <c r="P16" s="110"/>
      <c r="Q16" s="92"/>
      <c r="R16" s="110"/>
      <c r="S16" s="110"/>
      <c r="T16" s="110"/>
      <c r="U16" s="124"/>
      <c r="V16" s="124"/>
      <c r="W16" s="92"/>
      <c r="X16" s="92"/>
      <c r="Y16" s="92"/>
      <c r="Z16" s="92"/>
      <c r="AA16" s="124"/>
      <c r="AB16" s="124"/>
      <c r="AC16" s="124"/>
    </row>
    <row r="17" ht="13.5" customHeight="1">
      <c r="A17" s="124"/>
      <c r="B17" s="124"/>
      <c r="C17" s="124">
        <v>10.0</v>
      </c>
      <c r="D17" s="91" t="s">
        <v>997</v>
      </c>
      <c r="E17" s="110" t="s">
        <v>304</v>
      </c>
      <c r="F17" s="110" t="s">
        <v>998</v>
      </c>
      <c r="G17" s="110"/>
      <c r="H17" s="110" t="s">
        <v>999</v>
      </c>
      <c r="I17" s="153" t="s">
        <v>441</v>
      </c>
      <c r="J17" s="92">
        <v>96000.0</v>
      </c>
      <c r="K17" s="110">
        <v>74000.0</v>
      </c>
      <c r="L17" s="110"/>
      <c r="M17" s="110"/>
      <c r="N17" s="92" t="s">
        <v>1000</v>
      </c>
      <c r="O17" s="110">
        <v>22000.0</v>
      </c>
      <c r="P17" s="110" t="s">
        <v>1001</v>
      </c>
      <c r="Q17" s="92"/>
      <c r="R17" s="110"/>
      <c r="S17" s="110"/>
      <c r="T17" s="110"/>
      <c r="U17" s="124"/>
      <c r="V17" s="124"/>
      <c r="W17" s="92"/>
      <c r="X17" s="92"/>
      <c r="Y17" s="125"/>
      <c r="Z17" s="92"/>
      <c r="AA17" s="124"/>
      <c r="AB17" s="124"/>
      <c r="AC17" s="124"/>
    </row>
    <row r="18" ht="13.5" customHeight="1">
      <c r="A18" s="124"/>
      <c r="B18" s="124"/>
      <c r="C18" s="124">
        <v>3.0</v>
      </c>
      <c r="D18" s="91" t="s">
        <v>544</v>
      </c>
      <c r="E18" s="110" t="s">
        <v>304</v>
      </c>
      <c r="F18" s="110" t="s">
        <v>533</v>
      </c>
      <c r="G18" s="152" t="s">
        <v>1002</v>
      </c>
      <c r="H18" s="110" t="s">
        <v>1003</v>
      </c>
      <c r="I18" s="153" t="s">
        <v>414</v>
      </c>
      <c r="J18" s="92">
        <v>70000.0</v>
      </c>
      <c r="K18" s="110">
        <v>45000.0</v>
      </c>
      <c r="L18" s="110"/>
      <c r="M18" s="110"/>
      <c r="N18" s="92" t="s">
        <v>1004</v>
      </c>
      <c r="O18" s="110">
        <v>250000.0</v>
      </c>
      <c r="P18" s="110" t="s">
        <v>1005</v>
      </c>
      <c r="Q18" s="92"/>
      <c r="R18" s="110"/>
      <c r="S18" s="110"/>
      <c r="T18" s="110"/>
      <c r="U18" s="124"/>
      <c r="V18" s="124"/>
      <c r="W18" s="92"/>
      <c r="X18" s="92"/>
      <c r="Y18" s="92"/>
      <c r="Z18" s="110"/>
      <c r="AA18" s="124"/>
      <c r="AB18" s="124"/>
      <c r="AC18" s="124"/>
    </row>
    <row r="19" ht="13.5" customHeight="1">
      <c r="A19" s="124"/>
      <c r="B19" s="124"/>
      <c r="C19" s="124">
        <v>14.0</v>
      </c>
      <c r="D19" s="91" t="s">
        <v>1006</v>
      </c>
      <c r="E19" s="110" t="s">
        <v>304</v>
      </c>
      <c r="F19" s="110" t="s">
        <v>1007</v>
      </c>
      <c r="G19" s="193" t="s">
        <v>1008</v>
      </c>
      <c r="H19" s="110" t="s">
        <v>1009</v>
      </c>
      <c r="I19" s="153" t="s">
        <v>1010</v>
      </c>
      <c r="J19" s="110">
        <v>18500.0</v>
      </c>
      <c r="K19" s="110">
        <v>13500.0</v>
      </c>
      <c r="L19" s="110"/>
      <c r="M19" s="110"/>
      <c r="N19" s="92" t="s">
        <v>1011</v>
      </c>
      <c r="O19" s="110">
        <v>5000.0</v>
      </c>
      <c r="P19" s="110"/>
      <c r="Q19" s="92"/>
      <c r="R19" s="110"/>
      <c r="S19" s="110"/>
      <c r="T19" s="110"/>
      <c r="U19" s="124"/>
      <c r="V19" s="124"/>
      <c r="W19" s="92"/>
      <c r="X19" s="92"/>
      <c r="Y19" s="92"/>
      <c r="Z19" s="92"/>
      <c r="AA19" s="124"/>
      <c r="AB19" s="124"/>
      <c r="AC19" s="124"/>
    </row>
    <row r="20" ht="13.5" customHeight="1">
      <c r="A20" s="124"/>
      <c r="B20" s="124"/>
      <c r="C20" s="124"/>
      <c r="D20" s="91"/>
      <c r="E20" s="110"/>
      <c r="F20" s="110"/>
      <c r="G20" s="110"/>
      <c r="H20" s="110"/>
      <c r="I20" s="153"/>
      <c r="J20" s="110"/>
      <c r="K20" s="110"/>
      <c r="L20" s="110"/>
      <c r="M20" s="110"/>
      <c r="N20" s="92"/>
      <c r="O20" s="110"/>
      <c r="P20" s="110"/>
      <c r="Q20" s="92"/>
      <c r="R20" s="110"/>
      <c r="S20" s="110"/>
      <c r="T20" s="110"/>
      <c r="U20" s="124"/>
      <c r="V20" s="124"/>
      <c r="W20" s="110"/>
      <c r="X20" s="110"/>
      <c r="Y20" s="110"/>
      <c r="Z20" s="110"/>
      <c r="AA20" s="124"/>
      <c r="AB20" s="124"/>
      <c r="AC20" s="124"/>
    </row>
    <row r="21" ht="13.5" customHeight="1">
      <c r="A21" s="124"/>
      <c r="B21" s="124"/>
      <c r="C21" s="124"/>
      <c r="D21" s="91"/>
      <c r="E21" s="110"/>
      <c r="F21" s="110"/>
      <c r="G21" s="110"/>
      <c r="H21" s="110"/>
      <c r="I21" s="110"/>
      <c r="J21" s="110"/>
      <c r="K21" s="110"/>
      <c r="L21" s="110"/>
      <c r="M21" s="110"/>
      <c r="N21" s="92"/>
      <c r="O21" s="110"/>
      <c r="P21" s="110"/>
      <c r="Q21" s="92"/>
      <c r="R21" s="110"/>
      <c r="S21" s="110"/>
      <c r="T21" s="110"/>
      <c r="U21" s="124"/>
      <c r="V21" s="124"/>
      <c r="W21" s="124"/>
      <c r="X21" s="124"/>
      <c r="Y21" s="124"/>
      <c r="Z21" s="124"/>
      <c r="AA21" s="124"/>
      <c r="AB21" s="124"/>
      <c r="AC21" s="124"/>
    </row>
    <row r="22" ht="13.5" customHeight="1">
      <c r="A22" s="124"/>
      <c r="B22" s="124"/>
      <c r="C22" s="124"/>
      <c r="D22" s="91"/>
      <c r="E22" s="110"/>
      <c r="F22" s="110"/>
      <c r="G22" s="110"/>
      <c r="H22" s="110"/>
      <c r="I22" s="110"/>
      <c r="J22" s="110"/>
      <c r="K22" s="110"/>
      <c r="L22" s="110"/>
      <c r="M22" s="110"/>
      <c r="N22" s="92"/>
      <c r="O22" s="110"/>
      <c r="P22" s="110"/>
      <c r="Q22" s="92"/>
      <c r="R22" s="110"/>
      <c r="S22" s="110"/>
      <c r="T22" s="110"/>
      <c r="U22" s="124"/>
      <c r="V22" s="124"/>
      <c r="W22" s="124"/>
      <c r="X22" s="124"/>
      <c r="Y22" s="124"/>
      <c r="Z22" s="124"/>
      <c r="AA22" s="124"/>
      <c r="AB22" s="124"/>
      <c r="AC22" s="124"/>
    </row>
    <row r="23" ht="13.5" customHeight="1">
      <c r="A23" s="124"/>
      <c r="B23" s="124"/>
      <c r="C23" s="124"/>
      <c r="D23" s="91"/>
      <c r="E23" s="110"/>
      <c r="F23" s="110"/>
      <c r="G23" s="110"/>
      <c r="H23" s="110"/>
      <c r="I23" s="110"/>
      <c r="J23" s="110"/>
      <c r="K23" s="110"/>
      <c r="L23" s="110"/>
      <c r="M23" s="110"/>
      <c r="N23" s="92"/>
      <c r="O23" s="110"/>
      <c r="P23" s="110"/>
      <c r="Q23" s="92"/>
      <c r="R23" s="110"/>
      <c r="S23" s="110"/>
      <c r="T23" s="110"/>
      <c r="U23" s="124"/>
      <c r="V23" s="124"/>
      <c r="W23" s="124"/>
      <c r="X23" s="124"/>
      <c r="Y23" s="124"/>
      <c r="Z23" s="124"/>
      <c r="AA23" s="124"/>
      <c r="AB23" s="124"/>
      <c r="AC23" s="124"/>
    </row>
    <row r="24" ht="13.5" customHeight="1">
      <c r="A24" s="124"/>
      <c r="B24" s="124"/>
      <c r="C24" s="124"/>
      <c r="D24" s="110"/>
      <c r="E24" s="110"/>
      <c r="F24" s="110"/>
      <c r="G24" s="110"/>
      <c r="H24" s="110"/>
      <c r="I24" s="110"/>
      <c r="J24" s="110"/>
      <c r="K24" s="110"/>
      <c r="L24" s="110"/>
      <c r="M24" s="110"/>
      <c r="N24" s="92"/>
      <c r="O24" s="110"/>
      <c r="P24" s="110"/>
      <c r="Q24" s="92"/>
      <c r="R24" s="110"/>
      <c r="S24" s="110"/>
      <c r="T24" s="110"/>
      <c r="U24" s="161"/>
      <c r="V24" s="161"/>
      <c r="W24" s="124"/>
      <c r="X24" s="124"/>
      <c r="Y24" s="124"/>
      <c r="Z24" s="124"/>
      <c r="AA24" s="124"/>
      <c r="AB24" s="124"/>
      <c r="AC24" s="124"/>
    </row>
    <row r="25" ht="13.5" customHeight="1">
      <c r="A25" s="124"/>
      <c r="B25" s="124"/>
      <c r="C25" s="124"/>
      <c r="D25" s="124"/>
      <c r="E25" s="124"/>
      <c r="F25" s="110"/>
      <c r="G25" s="124"/>
      <c r="H25" s="124"/>
      <c r="I25" s="124"/>
      <c r="J25" s="124"/>
      <c r="K25" s="124"/>
      <c r="L25" s="124"/>
      <c r="M25" s="124"/>
      <c r="N25" s="124"/>
      <c r="O25" s="124"/>
      <c r="P25" s="124"/>
      <c r="Q25" s="124"/>
      <c r="R25" s="124"/>
      <c r="S25" s="124"/>
      <c r="T25" s="124"/>
      <c r="U25" s="124"/>
      <c r="V25" s="124"/>
      <c r="W25" s="124"/>
      <c r="X25" s="124"/>
      <c r="Y25" s="124"/>
      <c r="Z25" s="124"/>
      <c r="AA25" s="124"/>
      <c r="AB25" s="124"/>
      <c r="AC25" s="124"/>
    </row>
    <row r="26" ht="13.5" customHeight="1">
      <c r="A26" s="124"/>
      <c r="B26" s="124"/>
      <c r="C26" s="124"/>
      <c r="D26" s="124"/>
      <c r="E26" s="124"/>
      <c r="F26" s="110"/>
      <c r="G26" s="124"/>
      <c r="H26" s="124"/>
      <c r="I26" s="124"/>
      <c r="J26" s="124"/>
      <c r="K26" s="124"/>
      <c r="L26" s="124"/>
      <c r="M26" s="124"/>
      <c r="N26" s="124"/>
      <c r="O26" s="124"/>
      <c r="P26" s="124"/>
      <c r="Q26" s="124"/>
      <c r="R26" s="124"/>
      <c r="S26" s="124"/>
      <c r="T26" s="124"/>
      <c r="U26" s="124"/>
      <c r="V26" s="124"/>
      <c r="W26" s="124"/>
      <c r="X26" s="124"/>
      <c r="Y26" s="124"/>
      <c r="Z26" s="124"/>
      <c r="AA26" s="124"/>
      <c r="AB26" s="124"/>
      <c r="AC26" s="124"/>
    </row>
    <row r="27" ht="13.5" customHeight="1">
      <c r="A27" s="124"/>
      <c r="B27" s="124"/>
      <c r="C27" s="124"/>
      <c r="D27" s="124"/>
      <c r="E27" s="124"/>
      <c r="F27" s="110"/>
      <c r="G27" s="124"/>
      <c r="H27" s="124"/>
      <c r="I27" s="124"/>
      <c r="J27" s="124"/>
      <c r="K27" s="124"/>
      <c r="L27" s="124"/>
      <c r="M27" s="124"/>
      <c r="N27" s="124"/>
      <c r="O27" s="124"/>
      <c r="P27" s="124"/>
      <c r="Q27" s="124"/>
      <c r="R27" s="124"/>
      <c r="S27" s="124"/>
      <c r="T27" s="124"/>
      <c r="U27" s="124"/>
      <c r="V27" s="124"/>
      <c r="W27" s="124"/>
      <c r="X27" s="124"/>
      <c r="Y27" s="124"/>
      <c r="Z27" s="124"/>
      <c r="AA27" s="124"/>
      <c r="AB27" s="124"/>
      <c r="AC27" s="124"/>
    </row>
    <row r="28" ht="13.5" customHeight="1">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row>
    <row r="29" ht="13.5" customHeight="1">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c r="AA29" s="124"/>
      <c r="AB29" s="124"/>
      <c r="AC29" s="124"/>
    </row>
    <row r="30" ht="13.5" customHeight="1">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c r="AA30" s="124"/>
      <c r="AB30" s="124"/>
      <c r="AC30" s="124"/>
    </row>
    <row r="31" ht="13.5" customHeight="1">
      <c r="A31" s="124"/>
      <c r="B31" s="124"/>
      <c r="C31" s="124"/>
      <c r="D31" s="124"/>
      <c r="E31" s="124"/>
      <c r="F31" s="124"/>
      <c r="G31" s="124"/>
      <c r="H31" s="124"/>
      <c r="I31" s="124"/>
      <c r="J31" s="124"/>
      <c r="K31" s="124"/>
      <c r="L31" s="124"/>
      <c r="M31" s="124"/>
      <c r="N31" s="124"/>
      <c r="O31" s="124"/>
      <c r="P31" s="124"/>
      <c r="Q31" s="124"/>
      <c r="R31" s="124"/>
      <c r="S31" s="124"/>
      <c r="T31" s="124"/>
      <c r="U31" s="124"/>
      <c r="V31" s="124"/>
      <c r="W31" s="124"/>
      <c r="X31" s="124"/>
      <c r="Y31" s="124"/>
      <c r="Z31" s="124"/>
      <c r="AA31" s="124"/>
      <c r="AB31" s="124"/>
      <c r="AC31" s="124"/>
    </row>
    <row r="32" ht="13.5" customHeight="1">
      <c r="A32" s="124"/>
      <c r="B32" s="124"/>
      <c r="C32" s="124"/>
      <c r="D32" s="124"/>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c r="AC32" s="124"/>
    </row>
    <row r="33" ht="13.5" customHeight="1">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c r="AC33" s="124"/>
    </row>
    <row r="34" ht="13.5" customHeight="1">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c r="AA34" s="124"/>
      <c r="AB34" s="124"/>
      <c r="AC34" s="124"/>
    </row>
    <row r="35" ht="13.5" customHeight="1">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c r="AC35" s="124"/>
    </row>
    <row r="36" ht="13.5" customHeight="1">
      <c r="A36" s="124"/>
      <c r="B36" s="124"/>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c r="AA36" s="124"/>
      <c r="AB36" s="124"/>
      <c r="AC36" s="124"/>
    </row>
    <row r="37" ht="13.5" customHeight="1">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c r="AA37" s="124"/>
      <c r="AB37" s="124"/>
      <c r="AC37" s="124"/>
    </row>
    <row r="38" ht="13.5" customHeight="1">
      <c r="A38" s="124"/>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c r="AC38" s="124"/>
    </row>
    <row r="39" ht="13.5" customHeight="1">
      <c r="A39" s="124"/>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c r="AC39" s="124"/>
    </row>
    <row r="40" ht="13.5" customHeight="1">
      <c r="A40" s="124"/>
      <c r="B40" s="124"/>
      <c r="C40" s="151">
        <v>45753.0</v>
      </c>
      <c r="D40" s="124">
        <v>20000.0</v>
      </c>
      <c r="E40" s="124" t="s">
        <v>799</v>
      </c>
      <c r="F40" s="124" t="s">
        <v>800</v>
      </c>
      <c r="G40" s="124"/>
      <c r="H40" s="124"/>
      <c r="I40" s="124"/>
      <c r="J40" s="124"/>
      <c r="K40" s="124"/>
      <c r="L40" s="124"/>
      <c r="M40" s="124"/>
      <c r="N40" s="124"/>
      <c r="O40" s="124"/>
      <c r="P40" s="124"/>
      <c r="Q40" s="124"/>
      <c r="R40" s="124"/>
      <c r="S40" s="124"/>
      <c r="T40" s="124"/>
      <c r="U40" s="124"/>
      <c r="V40" s="124"/>
      <c r="W40" s="124"/>
      <c r="X40" s="124"/>
      <c r="Y40" s="124"/>
      <c r="Z40" s="124"/>
      <c r="AA40" s="124"/>
      <c r="AB40" s="124"/>
      <c r="AC40" s="124"/>
    </row>
    <row r="41" ht="13.5" customHeight="1">
      <c r="A41" s="124"/>
      <c r="B41" s="124"/>
      <c r="C41" s="151">
        <v>45814.0</v>
      </c>
      <c r="D41" s="124">
        <v>20000.0</v>
      </c>
      <c r="E41" s="124" t="s">
        <v>801</v>
      </c>
      <c r="F41" s="124" t="s">
        <v>802</v>
      </c>
      <c r="G41" s="124"/>
      <c r="H41" s="124"/>
      <c r="I41" s="124"/>
      <c r="J41" s="124"/>
      <c r="K41" s="124"/>
      <c r="L41" s="124"/>
      <c r="M41" s="124"/>
      <c r="N41" s="124"/>
      <c r="O41" s="124"/>
      <c r="P41" s="124"/>
      <c r="Q41" s="124"/>
      <c r="R41" s="124"/>
      <c r="S41" s="124"/>
      <c r="T41" s="124"/>
      <c r="U41" s="124"/>
      <c r="V41" s="124"/>
      <c r="W41" s="124"/>
      <c r="X41" s="124"/>
      <c r="Y41" s="124"/>
      <c r="Z41" s="124"/>
      <c r="AA41" s="124"/>
      <c r="AB41" s="124"/>
      <c r="AC41" s="124"/>
    </row>
    <row r="42" ht="13.5" customHeight="1">
      <c r="A42" s="124"/>
      <c r="B42" s="124"/>
      <c r="C42" s="124" t="s">
        <v>803</v>
      </c>
      <c r="D42" s="124">
        <v>43000.0</v>
      </c>
      <c r="E42" s="124" t="s">
        <v>801</v>
      </c>
      <c r="F42" s="124" t="s">
        <v>804</v>
      </c>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row>
    <row r="43" ht="13.5" customHeight="1">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row>
    <row r="44" ht="13.5" customHeight="1">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24"/>
    </row>
    <row r="45" ht="13.5" customHeight="1">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c r="AC45" s="124"/>
    </row>
    <row r="46" ht="13.5" customHeight="1">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row>
    <row r="47" ht="13.5" customHeight="1">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c r="AC47" s="124"/>
    </row>
    <row r="48" ht="13.5" customHeight="1">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c r="AC48" s="124"/>
    </row>
    <row r="49" ht="13.5" customHeight="1">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c r="AC49" s="124"/>
    </row>
    <row r="50" ht="13.5" customHeight="1">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row>
    <row r="51" ht="13.5" customHeight="1">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c r="AC51" s="124"/>
    </row>
    <row r="52" ht="13.5" customHeight="1">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row>
    <row r="53" ht="13.5" customHeight="1">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row>
    <row r="54" ht="13.5" customHeight="1">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c r="AC54" s="124"/>
    </row>
    <row r="55" ht="13.5" customHeight="1">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c r="AC55" s="124"/>
    </row>
    <row r="56" ht="13.5" customHeight="1">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c r="AC56" s="124"/>
    </row>
    <row r="57" ht="13.5" customHeight="1">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row>
    <row r="58" ht="13.5" customHeight="1">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c r="AC58" s="124"/>
    </row>
    <row r="59" ht="13.5" customHeight="1">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row>
    <row r="60" ht="13.5" customHeight="1">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c r="AC60" s="124"/>
    </row>
    <row r="61" ht="13.5" customHeight="1">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row>
    <row r="62" ht="13.5" customHeight="1">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row>
    <row r="63" ht="13.5" customHeight="1">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row>
    <row r="64" ht="13.5" customHeight="1">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row>
    <row r="65" ht="13.5" customHeight="1">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row>
    <row r="66" ht="13.5" customHeight="1">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c r="AC66" s="124"/>
    </row>
    <row r="67" ht="13.5" customHeight="1">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c r="AC67" s="124"/>
    </row>
    <row r="68" ht="13.5" customHeight="1">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c r="AC68" s="124"/>
    </row>
    <row r="69" ht="13.5" customHeight="1">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row>
    <row r="70" ht="13.5" customHeight="1">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24"/>
    </row>
    <row r="71" ht="13.5" customHeight="1">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c r="AC71" s="124"/>
    </row>
    <row r="72" ht="13.5" customHeight="1">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row>
    <row r="73" ht="13.5" customHeight="1">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row>
    <row r="74" ht="13.5" customHeight="1">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row>
    <row r="75" ht="13.5" customHeight="1">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row>
    <row r="76" ht="13.5" customHeight="1">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row>
    <row r="77" ht="13.5" customHeight="1">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row>
    <row r="78" ht="13.5" customHeight="1">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row>
    <row r="79" ht="13.5" customHeight="1">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c r="AC79" s="124"/>
    </row>
    <row r="80" ht="13.5" customHeight="1">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row>
    <row r="81" ht="13.5" customHeight="1">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row>
    <row r="82" ht="13.5" customHeight="1">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c r="AC82" s="124"/>
    </row>
    <row r="83" ht="13.5" customHeight="1">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row>
    <row r="84" ht="13.5" customHeight="1">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c r="AC84" s="124"/>
    </row>
    <row r="85" ht="13.5" customHeight="1">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row>
    <row r="86" ht="13.5" customHeight="1">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row>
    <row r="87" ht="13.5" customHeight="1">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row>
    <row r="88" ht="13.5" customHeight="1">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row>
    <row r="89" ht="13.5" customHeight="1">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row>
    <row r="90" ht="13.5" customHeight="1">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c r="AC90" s="124"/>
    </row>
    <row r="91" ht="13.5" customHeight="1">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row>
    <row r="92" ht="13.5" customHeight="1">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row>
    <row r="93" ht="13.5" customHeight="1">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row>
    <row r="94" ht="13.5" customHeight="1">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c r="AC94" s="124"/>
    </row>
    <row r="95" ht="13.5" customHeight="1">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row>
    <row r="96" ht="13.5" customHeight="1">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c r="AC96" s="124"/>
    </row>
    <row r="97" ht="13.5" customHeight="1">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c r="AC97" s="124"/>
    </row>
    <row r="98" ht="13.5" customHeight="1">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c r="AC98" s="124"/>
    </row>
    <row r="99" ht="13.5" customHeight="1">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c r="AA99" s="124"/>
      <c r="AB99" s="124"/>
      <c r="AC99" s="124"/>
    </row>
    <row r="100" ht="13.5" customHeight="1">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c r="AC100" s="124"/>
    </row>
    <row r="101" ht="13.5" customHeight="1">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c r="AA101" s="124"/>
      <c r="AB101" s="124"/>
      <c r="AC101" s="124"/>
    </row>
    <row r="102" ht="13.5" customHeight="1">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c r="AA102" s="124"/>
      <c r="AB102" s="124"/>
      <c r="AC102" s="124"/>
    </row>
    <row r="103" ht="13.5" customHeight="1">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c r="AA103" s="124"/>
      <c r="AB103" s="124"/>
      <c r="AC103" s="124"/>
    </row>
    <row r="104" ht="13.5" customHeight="1">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c r="AC104" s="124"/>
    </row>
    <row r="105" ht="13.5" customHeight="1">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c r="AB105" s="124"/>
      <c r="AC105" s="124"/>
    </row>
    <row r="106" ht="13.5" customHeight="1">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c r="AA106" s="124"/>
      <c r="AB106" s="124"/>
      <c r="AC106" s="124"/>
    </row>
    <row r="107" ht="13.5" customHeight="1">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4"/>
      <c r="AC107" s="124"/>
    </row>
    <row r="108" ht="13.5" customHeight="1">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c r="AA108" s="124"/>
      <c r="AB108" s="124"/>
      <c r="AC108" s="124"/>
    </row>
    <row r="109" ht="13.5" customHeight="1">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c r="AC109" s="124"/>
    </row>
    <row r="110" ht="13.5" customHeight="1">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c r="AC110" s="124"/>
    </row>
    <row r="111" ht="13.5" customHeight="1">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c r="AC111" s="124"/>
    </row>
    <row r="112" ht="13.5" customHeight="1">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c r="AC112" s="124"/>
    </row>
    <row r="113" ht="13.5" customHeight="1">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c r="AA113" s="124"/>
      <c r="AB113" s="124"/>
      <c r="AC113" s="124"/>
    </row>
    <row r="114" ht="13.5" customHeight="1">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c r="AA114" s="124"/>
      <c r="AB114" s="124"/>
      <c r="AC114" s="124"/>
    </row>
    <row r="115" ht="13.5" customHeight="1">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c r="AC115" s="124"/>
    </row>
    <row r="116" ht="13.5" customHeight="1">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c r="AA116" s="124"/>
      <c r="AB116" s="124"/>
      <c r="AC116" s="124"/>
    </row>
    <row r="117" ht="13.5" customHeight="1">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c r="AC117" s="124"/>
    </row>
    <row r="118" ht="13.5" customHeight="1">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c r="AB118" s="124"/>
      <c r="AC118" s="124"/>
    </row>
    <row r="119" ht="13.5" customHeight="1">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c r="AC119" s="124"/>
    </row>
    <row r="120" ht="13.5" customHeight="1">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c r="AC120" s="124"/>
    </row>
    <row r="121" ht="13.5" customHeight="1">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24"/>
    </row>
    <row r="122" ht="13.5" customHeight="1">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124"/>
    </row>
    <row r="123" ht="13.5" customHeight="1">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c r="AC123" s="124"/>
    </row>
    <row r="124" ht="13.5" customHeight="1">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c r="AC124" s="124"/>
    </row>
    <row r="125" ht="13.5" customHeight="1">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c r="AC125" s="124"/>
    </row>
    <row r="126" ht="13.5" customHeight="1">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c r="AC126" s="124"/>
    </row>
    <row r="127" ht="13.5" customHeight="1">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c r="AC127" s="124"/>
    </row>
    <row r="128" ht="13.5" customHeight="1">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c r="AC128" s="124"/>
    </row>
    <row r="129" ht="13.5" customHeight="1">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c r="AC129" s="124"/>
    </row>
    <row r="130" ht="13.5" customHeight="1">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row>
    <row r="131" ht="13.5" customHeight="1">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c r="AC131" s="124"/>
    </row>
    <row r="132" ht="13.5" customHeight="1">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c r="AC132" s="124"/>
    </row>
    <row r="133" ht="13.5" customHeight="1">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c r="AB133" s="124"/>
      <c r="AC133" s="124"/>
    </row>
    <row r="134" ht="13.5" customHeight="1">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24"/>
    </row>
    <row r="135" ht="13.5" customHeight="1">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c r="AC135" s="124"/>
    </row>
    <row r="136" ht="13.5" customHeight="1">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c r="AB136" s="124"/>
      <c r="AC136" s="124"/>
    </row>
    <row r="137" ht="13.5" customHeight="1">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c r="AC137" s="124"/>
    </row>
    <row r="138" ht="13.5" customHeight="1">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c r="AC138" s="124"/>
    </row>
    <row r="139" ht="13.5" customHeight="1">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c r="AC139" s="124"/>
    </row>
    <row r="140" ht="13.5" customHeight="1">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c r="AC140" s="124"/>
    </row>
    <row r="141" ht="13.5" customHeight="1">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c r="AC141" s="124"/>
    </row>
    <row r="142" ht="13.5" customHeight="1">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c r="AC142" s="124"/>
    </row>
    <row r="143" ht="13.5" customHeight="1">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24"/>
    </row>
    <row r="144" ht="13.5" customHeight="1">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c r="AC144" s="124"/>
    </row>
    <row r="145" ht="13.5" customHeight="1">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c r="AC145" s="124"/>
    </row>
    <row r="146" ht="13.5" customHeight="1">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c r="AC146" s="124"/>
    </row>
    <row r="147" ht="13.5" customHeight="1">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c r="AC147" s="124"/>
    </row>
    <row r="148" ht="13.5" customHeight="1">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c r="AC148" s="124"/>
    </row>
    <row r="149" ht="13.5" customHeight="1">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c r="AC149" s="124"/>
    </row>
    <row r="150" ht="13.5" customHeight="1">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row>
    <row r="151" ht="13.5" customHeight="1">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c r="AC151" s="124"/>
    </row>
    <row r="152" ht="13.5" customHeight="1">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c r="AB152" s="124"/>
      <c r="AC152" s="124"/>
    </row>
    <row r="153" ht="13.5" customHeight="1">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c r="AB153" s="124"/>
      <c r="AC153" s="124"/>
    </row>
    <row r="154" ht="13.5" customHeight="1">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c r="AC154" s="124"/>
    </row>
    <row r="155" ht="13.5" customHeight="1">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c r="AB155" s="124"/>
      <c r="AC155" s="124"/>
    </row>
    <row r="156" ht="13.5" customHeight="1">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c r="AC156" s="124"/>
    </row>
    <row r="157" ht="13.5" customHeight="1">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c r="AC157" s="124"/>
    </row>
    <row r="158" ht="13.5" customHeight="1">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c r="AC158" s="124"/>
    </row>
    <row r="159" ht="13.5" customHeight="1">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c r="AC159" s="124"/>
    </row>
    <row r="160" ht="13.5" customHeight="1">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24"/>
    </row>
    <row r="161" ht="13.5" customHeight="1">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c r="AC161" s="124"/>
    </row>
    <row r="162" ht="13.5" customHeight="1">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c r="AC162" s="124"/>
    </row>
    <row r="163" ht="13.5" customHeight="1">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124"/>
      <c r="AC163" s="124"/>
    </row>
    <row r="164" ht="13.5" customHeight="1">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c r="AC164" s="124"/>
    </row>
    <row r="165" ht="13.5" customHeight="1">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c r="AC165" s="124"/>
    </row>
    <row r="166" ht="13.5" customHeight="1">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c r="AC166" s="124"/>
    </row>
    <row r="167" ht="13.5" customHeight="1">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c r="AB167" s="124"/>
      <c r="AC167" s="124"/>
    </row>
    <row r="168" ht="13.5" customHeight="1">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c r="AC168" s="124"/>
    </row>
    <row r="169" ht="13.5" customHeight="1">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c r="AB169" s="124"/>
      <c r="AC169" s="124"/>
    </row>
    <row r="170" ht="13.5" customHeight="1">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c r="AC170" s="124"/>
    </row>
    <row r="171" ht="13.5" customHeight="1">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124"/>
      <c r="AC171" s="124"/>
    </row>
    <row r="172" ht="13.5" customHeight="1">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c r="AC172" s="124"/>
    </row>
    <row r="173" ht="13.5" customHeight="1">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24"/>
    </row>
    <row r="174" ht="13.5" customHeight="1">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c r="AC174" s="124"/>
    </row>
    <row r="175" ht="13.5" customHeight="1">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124"/>
      <c r="AC175" s="124"/>
    </row>
    <row r="176" ht="13.5" customHeight="1">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c r="AC176" s="124"/>
    </row>
    <row r="177" ht="13.5" customHeight="1">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c r="AC177" s="124"/>
    </row>
    <row r="178" ht="13.5" customHeight="1">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c r="AC178" s="124"/>
    </row>
    <row r="179" ht="13.5" customHeight="1">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124"/>
      <c r="AC179" s="124"/>
    </row>
    <row r="180" ht="13.5" customHeight="1">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c r="AC180" s="124"/>
    </row>
    <row r="181" ht="13.5" customHeight="1">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c r="AC181" s="124"/>
    </row>
    <row r="182" ht="13.5" customHeight="1">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124"/>
      <c r="AC182" s="124"/>
    </row>
    <row r="183" ht="13.5" customHeight="1">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c r="AB183" s="124"/>
      <c r="AC183" s="124"/>
    </row>
    <row r="184" ht="13.5" customHeight="1">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c r="AC184" s="124"/>
    </row>
    <row r="185" ht="13.5" customHeight="1">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124"/>
      <c r="AC185" s="124"/>
    </row>
    <row r="186" ht="13.5" customHeight="1">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c r="AC186" s="124"/>
    </row>
    <row r="187" ht="13.5" customHeight="1">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c r="AC187" s="124"/>
    </row>
    <row r="188" ht="13.5" customHeight="1">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c r="AC188" s="124"/>
    </row>
    <row r="189" ht="13.5" customHeight="1">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c r="AC189" s="124"/>
    </row>
    <row r="190" ht="13.5" customHeight="1">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24"/>
    </row>
    <row r="191" ht="13.5" customHeight="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c r="AC191" s="124"/>
    </row>
    <row r="192" ht="13.5" customHeight="1">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c r="AC192" s="124"/>
    </row>
    <row r="193" ht="13.5" customHeight="1">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c r="AC193" s="124"/>
    </row>
    <row r="194" ht="13.5" customHeight="1">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c r="AC194" s="124"/>
    </row>
    <row r="195" ht="13.5" customHeight="1">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c r="AC195" s="124"/>
    </row>
    <row r="196" ht="13.5" customHeight="1">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c r="AC196" s="124"/>
    </row>
    <row r="197" ht="13.5" customHeight="1">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c r="AC197" s="124"/>
    </row>
    <row r="198" ht="13.5" customHeight="1">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row>
    <row r="199" ht="13.5" customHeight="1">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c r="AC199" s="124"/>
    </row>
    <row r="200" ht="13.5" customHeight="1">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c r="AC200" s="124"/>
    </row>
    <row r="201" ht="13.5" customHeight="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c r="AC201" s="124"/>
    </row>
    <row r="202" ht="13.5" customHeight="1">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row>
    <row r="203" ht="13.5" customHeight="1">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c r="AC203" s="124"/>
    </row>
    <row r="204" ht="13.5" customHeight="1">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row>
    <row r="205" ht="13.5" customHeight="1">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c r="AC205" s="124"/>
    </row>
    <row r="206" ht="13.5" customHeight="1">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row>
    <row r="207" ht="13.5" customHeight="1">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row>
    <row r="208" ht="13.5" customHeight="1">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c r="AC208" s="124"/>
    </row>
    <row r="209" ht="13.5" customHeight="1">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c r="AC209" s="124"/>
    </row>
    <row r="210" ht="13.5" customHeight="1">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c r="AC210" s="124"/>
    </row>
    <row r="211" ht="13.5" customHeight="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c r="AC211" s="124"/>
    </row>
    <row r="212" ht="13.5" customHeight="1">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c r="AC212" s="124"/>
    </row>
    <row r="213" ht="13.5" customHeight="1">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c r="AC213" s="124"/>
    </row>
    <row r="214" ht="13.5" customHeight="1">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c r="AC214" s="124"/>
    </row>
    <row r="215" ht="13.5" customHeight="1">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c r="AC215" s="124"/>
    </row>
    <row r="216" ht="13.5" customHeight="1">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c r="AC216" s="124"/>
    </row>
    <row r="217" ht="13.5" customHeight="1">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c r="AC217" s="124"/>
    </row>
    <row r="218" ht="13.5" customHeight="1">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c r="AC218" s="124"/>
    </row>
    <row r="219" ht="13.5" customHeight="1">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c r="AC219" s="124"/>
    </row>
    <row r="220" ht="13.5" customHeight="1">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c r="AC220" s="124"/>
    </row>
    <row r="221" ht="13.5" customHeight="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c r="AC221" s="124"/>
    </row>
    <row r="222" ht="13.5" customHeight="1">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c r="AC222" s="124"/>
    </row>
    <row r="223" ht="13.5" customHeight="1">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c r="AC223" s="124"/>
    </row>
    <row r="224" ht="13.5" customHeight="1">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c r="AC224" s="124"/>
    </row>
    <row r="225" ht="13.5" customHeight="1">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c r="AC225" s="124"/>
    </row>
    <row r="226" ht="13.5" customHeight="1">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c r="AC226" s="124"/>
    </row>
    <row r="227" ht="13.5" customHeight="1">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c r="AC227" s="124"/>
    </row>
    <row r="228" ht="13.5" customHeight="1">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c r="AC228" s="124"/>
    </row>
    <row r="229" ht="13.5" customHeight="1">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c r="AC229" s="124"/>
    </row>
    <row r="230" ht="13.5" customHeight="1">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c r="AC230" s="124"/>
    </row>
    <row r="231" ht="13.5" customHeight="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c r="AC231" s="124"/>
    </row>
    <row r="232" ht="13.5" customHeight="1">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c r="AC232" s="124"/>
    </row>
    <row r="233" ht="13.5" customHeight="1">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c r="AC233" s="124"/>
    </row>
    <row r="234" ht="13.5" customHeight="1">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c r="AC234" s="124"/>
    </row>
    <row r="235" ht="13.5" customHeight="1">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c r="AC235" s="124"/>
    </row>
    <row r="236" ht="13.5" customHeight="1">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c r="AC236" s="124"/>
    </row>
    <row r="237" ht="13.5" customHeight="1">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c r="AC237" s="124"/>
    </row>
    <row r="238" ht="13.5" customHeight="1">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c r="AC238" s="124"/>
    </row>
    <row r="239" ht="13.5" customHeight="1">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c r="AC239" s="124"/>
    </row>
    <row r="240" ht="13.5" customHeight="1">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c r="AC240" s="124"/>
    </row>
    <row r="241" ht="13.5" customHeight="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c r="AC241" s="124"/>
    </row>
    <row r="242" ht="13.5" customHeight="1">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c r="AC242" s="124"/>
    </row>
    <row r="243" ht="13.5" customHeight="1">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c r="AC243" s="124"/>
    </row>
    <row r="244" ht="13.5" customHeight="1">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c r="AC244" s="124"/>
    </row>
    <row r="245" ht="13.5" customHeight="1">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c r="AC245" s="124"/>
    </row>
    <row r="246" ht="13.5" customHeight="1">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c r="AC246" s="124"/>
    </row>
    <row r="247" ht="13.5" customHeight="1">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c r="AC247" s="124"/>
    </row>
    <row r="248" ht="13.5" customHeight="1">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c r="AC248" s="124"/>
    </row>
    <row r="249" ht="13.5" customHeight="1">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c r="AC249" s="124"/>
    </row>
    <row r="250" ht="13.5" customHeight="1">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c r="AC250" s="124"/>
    </row>
    <row r="251" ht="13.5" customHeight="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c r="AC251" s="124"/>
    </row>
    <row r="252" ht="13.5" customHeight="1">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c r="AC252" s="124"/>
    </row>
    <row r="253" ht="13.5" customHeight="1">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c r="AC253" s="124"/>
    </row>
    <row r="254" ht="13.5" customHeight="1">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row>
    <row r="255" ht="13.5" customHeight="1">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c r="AC255" s="124"/>
    </row>
    <row r="256" ht="13.5" customHeight="1">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c r="AC256" s="124"/>
    </row>
    <row r="257" ht="13.5" customHeight="1">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c r="AC257" s="124"/>
    </row>
    <row r="258" ht="13.5" customHeight="1">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c r="AC258" s="124"/>
    </row>
    <row r="259" ht="13.5" customHeight="1">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c r="AC259" s="124"/>
    </row>
    <row r="260" ht="13.5" customHeight="1">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c r="AC260" s="124"/>
    </row>
    <row r="261" ht="13.5" customHeight="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c r="AC261" s="124"/>
    </row>
    <row r="262" ht="13.5" customHeight="1">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c r="AC262" s="124"/>
    </row>
    <row r="263" ht="13.5" customHeight="1">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c r="AC263" s="124"/>
    </row>
    <row r="264" ht="13.5" customHeight="1">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c r="AC264" s="124"/>
    </row>
    <row r="265" ht="13.5" customHeight="1">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c r="AC265" s="124"/>
    </row>
    <row r="266" ht="13.5" customHeight="1">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c r="AC266" s="124"/>
    </row>
    <row r="267" ht="13.5" customHeight="1">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c r="AC267" s="124"/>
    </row>
    <row r="268" ht="13.5" customHeight="1">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c r="AC268" s="124"/>
    </row>
    <row r="269" ht="13.5" customHeight="1">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c r="AC269" s="124"/>
    </row>
    <row r="270" ht="13.5" customHeight="1">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c r="AC270" s="124"/>
    </row>
    <row r="271" ht="13.5" customHeight="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c r="AC271" s="124"/>
    </row>
    <row r="272" ht="13.5" customHeight="1">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c r="AC272" s="124"/>
    </row>
    <row r="273" ht="13.5" customHeight="1">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c r="AC273" s="124"/>
    </row>
    <row r="274" ht="13.5" customHeight="1">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c r="AC274" s="124"/>
    </row>
    <row r="275" ht="13.5" customHeight="1">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c r="AC275" s="124"/>
    </row>
    <row r="276" ht="13.5" customHeight="1">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c r="AC276" s="124"/>
    </row>
    <row r="277" ht="13.5" customHeight="1">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c r="AC277" s="124"/>
    </row>
    <row r="278" ht="13.5" customHeight="1">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c r="AC278" s="124"/>
    </row>
    <row r="279" ht="13.5" customHeight="1">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c r="AC279" s="124"/>
    </row>
    <row r="280" ht="13.5" customHeight="1">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c r="AC280" s="124"/>
    </row>
    <row r="281" ht="13.5" customHeight="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c r="AC281" s="124"/>
    </row>
    <row r="282" ht="13.5" customHeight="1">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c r="AC282" s="124"/>
    </row>
    <row r="283" ht="13.5" customHeight="1">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c r="AC283" s="124"/>
    </row>
    <row r="284" ht="13.5" customHeight="1">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c r="AC284" s="124"/>
    </row>
    <row r="285" ht="13.5" customHeight="1">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c r="AC285" s="124"/>
    </row>
    <row r="286" ht="13.5" customHeight="1">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c r="AC286" s="124"/>
    </row>
    <row r="287" ht="13.5" customHeight="1">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c r="AC287" s="124"/>
    </row>
    <row r="288" ht="13.5" customHeight="1">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c r="AC288" s="124"/>
    </row>
    <row r="289" ht="13.5" customHeight="1">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c r="AC289" s="124"/>
    </row>
    <row r="290" ht="13.5" customHeight="1">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c r="AC290" s="124"/>
    </row>
    <row r="291" ht="13.5" customHeight="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c r="AC291" s="124"/>
    </row>
    <row r="292" ht="13.5" customHeight="1">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c r="AC292" s="124"/>
    </row>
    <row r="293" ht="13.5" customHeight="1">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c r="AC293" s="124"/>
    </row>
    <row r="294" ht="13.5" customHeight="1">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c r="AC294" s="124"/>
    </row>
    <row r="295" ht="13.5" customHeight="1">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c r="AC295" s="124"/>
    </row>
    <row r="296" ht="13.5" customHeight="1">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c r="AC296" s="124"/>
    </row>
    <row r="297" ht="13.5" customHeight="1">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c r="AC297" s="124"/>
    </row>
    <row r="298" ht="13.5" customHeight="1">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c r="AC298" s="124"/>
    </row>
    <row r="299" ht="13.5" customHeight="1">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c r="AC299" s="124"/>
    </row>
    <row r="300" ht="13.5" customHeight="1">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c r="AC300" s="124"/>
    </row>
    <row r="301" ht="13.5" customHeight="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c r="AC301" s="124"/>
    </row>
    <row r="302" ht="13.5" customHeight="1">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c r="AC302" s="124"/>
    </row>
    <row r="303" ht="13.5" customHeight="1">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c r="AC303" s="124"/>
    </row>
    <row r="304" ht="13.5" customHeight="1">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c r="AC304" s="124"/>
    </row>
    <row r="305" ht="13.5" customHeight="1">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c r="AC305" s="124"/>
    </row>
    <row r="306" ht="13.5" customHeight="1">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c r="AC306" s="124"/>
    </row>
    <row r="307" ht="13.5" customHeight="1">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c r="AC307" s="124"/>
    </row>
    <row r="308" ht="13.5" customHeight="1">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c r="AC308" s="124"/>
    </row>
    <row r="309" ht="13.5" customHeight="1">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c r="AC309" s="124"/>
    </row>
    <row r="310" ht="13.5" customHeight="1">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c r="AC310" s="124"/>
    </row>
    <row r="311" ht="13.5" customHeight="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c r="AC311" s="124"/>
    </row>
    <row r="312" ht="13.5" customHeight="1">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c r="AC312" s="124"/>
    </row>
    <row r="313" ht="13.5" customHeight="1">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c r="AC313" s="124"/>
    </row>
    <row r="314" ht="13.5" customHeight="1">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c r="AC314" s="124"/>
    </row>
    <row r="315" ht="13.5" customHeight="1">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c r="AC315" s="124"/>
    </row>
    <row r="316" ht="13.5" customHeight="1">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c r="AC316" s="124"/>
    </row>
    <row r="317" ht="13.5" customHeight="1">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c r="AC317" s="124"/>
    </row>
    <row r="318" ht="13.5" customHeight="1">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c r="AC318" s="124"/>
    </row>
    <row r="319" ht="13.5" customHeight="1">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c r="AC319" s="124"/>
    </row>
    <row r="320" ht="13.5" customHeight="1">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c r="AC320" s="124"/>
    </row>
    <row r="321" ht="13.5" customHeight="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c r="AC321" s="124"/>
    </row>
    <row r="322" ht="13.5" customHeight="1">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c r="AC322" s="124"/>
    </row>
    <row r="323" ht="13.5" customHeight="1">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c r="AC323" s="124"/>
    </row>
    <row r="324" ht="13.5" customHeight="1">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c r="AC324" s="124"/>
    </row>
    <row r="325" ht="13.5" customHeight="1">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c r="AC325" s="124"/>
    </row>
    <row r="326" ht="13.5" customHeight="1">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c r="AC326" s="124"/>
    </row>
    <row r="327" ht="13.5" customHeight="1">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c r="AC327" s="124"/>
    </row>
    <row r="328" ht="13.5" customHeight="1">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c r="AC328" s="124"/>
    </row>
    <row r="329" ht="13.5" customHeight="1">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c r="AC329" s="124"/>
    </row>
    <row r="330" ht="13.5" customHeight="1">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c r="AC330" s="124"/>
    </row>
    <row r="331" ht="13.5" customHeight="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c r="AC331" s="124"/>
    </row>
    <row r="332" ht="13.5" customHeight="1">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c r="AC332" s="124"/>
    </row>
    <row r="333" ht="13.5" customHeight="1">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c r="AC333" s="124"/>
    </row>
    <row r="334" ht="13.5" customHeight="1">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c r="AC334" s="124"/>
    </row>
    <row r="335" ht="13.5" customHeight="1">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c r="AC335" s="124"/>
    </row>
    <row r="336" ht="13.5" customHeight="1">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c r="AC336" s="124"/>
    </row>
    <row r="337" ht="13.5" customHeight="1">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c r="AC337" s="124"/>
    </row>
    <row r="338" ht="13.5" customHeight="1">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c r="AC338" s="124"/>
    </row>
    <row r="339" ht="13.5" customHeight="1">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c r="AC339" s="124"/>
    </row>
    <row r="340" ht="13.5" customHeight="1">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c r="AC340" s="124"/>
    </row>
    <row r="341" ht="13.5" customHeight="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c r="AC341" s="124"/>
    </row>
    <row r="342" ht="13.5" customHeight="1">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c r="AC342" s="124"/>
    </row>
    <row r="343" ht="13.5" customHeight="1">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c r="AC343" s="124"/>
    </row>
    <row r="344" ht="13.5" customHeight="1">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c r="AC344" s="124"/>
    </row>
    <row r="345" ht="13.5" customHeight="1">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c r="AC345" s="124"/>
    </row>
    <row r="346" ht="13.5" customHeight="1">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c r="AC346" s="124"/>
    </row>
    <row r="347" ht="13.5" customHeight="1">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c r="AC347" s="124"/>
    </row>
    <row r="348" ht="13.5" customHeight="1">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c r="AC348" s="124"/>
    </row>
    <row r="349" ht="13.5" customHeight="1">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c r="AC349" s="124"/>
    </row>
    <row r="350" ht="13.5" customHeight="1">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c r="AC350" s="124"/>
    </row>
    <row r="351" ht="13.5" customHeight="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c r="AC351" s="124"/>
    </row>
    <row r="352" ht="13.5" customHeight="1">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c r="AC352" s="124"/>
    </row>
    <row r="353" ht="13.5" customHeight="1">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c r="AC353" s="124"/>
    </row>
    <row r="354" ht="13.5" customHeight="1">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c r="AC354" s="124"/>
    </row>
    <row r="355" ht="13.5" customHeight="1">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c r="AC355" s="124"/>
    </row>
    <row r="356" ht="13.5" customHeight="1">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c r="AC356" s="124"/>
    </row>
    <row r="357" ht="13.5" customHeight="1">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c r="AC357" s="124"/>
    </row>
    <row r="358" ht="13.5" customHeight="1">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c r="AC358" s="124"/>
    </row>
    <row r="359" ht="13.5" customHeight="1">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c r="AC359" s="124"/>
    </row>
    <row r="360" ht="13.5" customHeight="1">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c r="AC360" s="124"/>
    </row>
    <row r="361" ht="13.5" customHeight="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c r="AC361" s="124"/>
    </row>
    <row r="362" ht="13.5" customHeight="1">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c r="AC362" s="124"/>
    </row>
    <row r="363" ht="13.5" customHeight="1">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c r="AC363" s="124"/>
    </row>
    <row r="364" ht="13.5" customHeight="1">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c r="AC364" s="124"/>
    </row>
    <row r="365" ht="13.5" customHeight="1">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c r="AC365" s="124"/>
    </row>
    <row r="366" ht="13.5" customHeight="1">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c r="AC366" s="124"/>
    </row>
    <row r="367" ht="13.5" customHeight="1">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c r="AC367" s="124"/>
    </row>
    <row r="368" ht="13.5" customHeight="1">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c r="AC368" s="124"/>
    </row>
    <row r="369" ht="13.5" customHeight="1">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c r="AC369" s="124"/>
    </row>
    <row r="370" ht="13.5" customHeight="1">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c r="AC370" s="124"/>
    </row>
    <row r="371" ht="13.5" customHeight="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c r="AC371" s="124"/>
    </row>
    <row r="372" ht="13.5" customHeight="1">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c r="AC372" s="124"/>
    </row>
    <row r="373" ht="13.5" customHeight="1">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c r="AC373" s="124"/>
    </row>
    <row r="374" ht="13.5" customHeight="1">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c r="AC374" s="124"/>
    </row>
    <row r="375" ht="13.5" customHeight="1">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c r="AC375" s="124"/>
    </row>
    <row r="376" ht="13.5" customHeight="1">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c r="AC376" s="124"/>
    </row>
    <row r="377" ht="13.5" customHeight="1">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c r="AC377" s="124"/>
    </row>
    <row r="378" ht="13.5" customHeight="1">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c r="AC378" s="124"/>
    </row>
    <row r="379" ht="13.5" customHeight="1">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c r="AC379" s="124"/>
    </row>
    <row r="380" ht="13.5" customHeight="1">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c r="AC380" s="124"/>
    </row>
    <row r="381" ht="13.5" customHeight="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c r="AC381" s="124"/>
    </row>
    <row r="382" ht="13.5" customHeight="1">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c r="AC382" s="124"/>
    </row>
    <row r="383" ht="13.5" customHeight="1">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c r="AC383" s="124"/>
    </row>
    <row r="384" ht="13.5" customHeight="1">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c r="AC384" s="124"/>
    </row>
    <row r="385" ht="13.5" customHeight="1">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c r="AC385" s="124"/>
    </row>
    <row r="386" ht="13.5" customHeight="1">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c r="AC386" s="124"/>
    </row>
    <row r="387" ht="13.5" customHeight="1">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c r="AC387" s="124"/>
    </row>
    <row r="388" ht="13.5" customHeight="1">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c r="AC388" s="124"/>
    </row>
    <row r="389" ht="13.5" customHeight="1">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c r="AC389" s="124"/>
    </row>
    <row r="390" ht="13.5" customHeight="1">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c r="AC390" s="124"/>
    </row>
    <row r="391" ht="13.5" customHeight="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c r="AC391" s="124"/>
    </row>
    <row r="392" ht="13.5" customHeight="1">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c r="AC392" s="124"/>
    </row>
    <row r="393" ht="13.5" customHeight="1">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c r="AC393" s="124"/>
    </row>
    <row r="394" ht="13.5" customHeight="1">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c r="AC394" s="124"/>
    </row>
    <row r="395" ht="13.5" customHeight="1">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c r="AC395" s="124"/>
    </row>
    <row r="396" ht="13.5" customHeight="1">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c r="AC396" s="124"/>
    </row>
    <row r="397" ht="13.5" customHeight="1">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c r="AC397" s="124"/>
    </row>
    <row r="398" ht="13.5" customHeight="1">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c r="AC398" s="124"/>
    </row>
    <row r="399" ht="13.5" customHeight="1">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c r="AC399" s="124"/>
    </row>
    <row r="400" ht="13.5" customHeight="1">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c r="AC400" s="124"/>
    </row>
    <row r="401" ht="13.5" customHeight="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c r="AC401" s="124"/>
    </row>
    <row r="402" ht="13.5" customHeight="1">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c r="AC402" s="124"/>
    </row>
    <row r="403" ht="13.5" customHeight="1">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c r="AC403" s="124"/>
    </row>
    <row r="404" ht="13.5" customHeight="1">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c r="AC404" s="124"/>
    </row>
    <row r="405" ht="13.5" customHeight="1">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c r="AC405" s="124"/>
    </row>
    <row r="406" ht="13.5" customHeight="1">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c r="AC406" s="124"/>
    </row>
    <row r="407" ht="13.5" customHeight="1">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c r="AC407" s="124"/>
    </row>
    <row r="408" ht="13.5" customHeight="1">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c r="AC408" s="124"/>
    </row>
    <row r="409" ht="13.5" customHeight="1">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c r="AC409" s="124"/>
    </row>
    <row r="410" ht="13.5" customHeight="1">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c r="AC410" s="124"/>
    </row>
    <row r="411" ht="13.5" customHeight="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c r="AC411" s="124"/>
    </row>
    <row r="412" ht="13.5" customHeight="1">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c r="AC412" s="124"/>
    </row>
    <row r="413" ht="13.5" customHeight="1">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c r="AC413" s="124"/>
    </row>
    <row r="414" ht="13.5" customHeight="1">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c r="AC414" s="124"/>
    </row>
    <row r="415" ht="13.5" customHeight="1">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c r="AC415" s="124"/>
    </row>
    <row r="416" ht="13.5" customHeight="1">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c r="AC416" s="124"/>
    </row>
    <row r="417" ht="13.5" customHeight="1">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c r="AC417" s="124"/>
    </row>
    <row r="418" ht="13.5" customHeight="1">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c r="AC418" s="124"/>
    </row>
    <row r="419" ht="13.5" customHeight="1">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c r="AC419" s="124"/>
    </row>
    <row r="420" ht="13.5" customHeight="1">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c r="AC420" s="124"/>
    </row>
    <row r="421" ht="13.5" customHeight="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c r="AC421" s="124"/>
    </row>
    <row r="422" ht="13.5" customHeight="1">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c r="AC422" s="124"/>
    </row>
    <row r="423" ht="13.5" customHeight="1">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c r="AC423" s="124"/>
    </row>
    <row r="424" ht="13.5" customHeight="1">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c r="AC424" s="124"/>
    </row>
    <row r="425" ht="13.5" customHeight="1">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c r="AC425" s="124"/>
    </row>
    <row r="426" ht="13.5" customHeight="1">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c r="AC426" s="124"/>
    </row>
    <row r="427" ht="13.5" customHeight="1">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c r="AC427" s="124"/>
    </row>
    <row r="428" ht="13.5" customHeight="1">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c r="AC428" s="124"/>
    </row>
    <row r="429" ht="13.5" customHeight="1">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c r="AC429" s="124"/>
    </row>
    <row r="430" ht="13.5" customHeight="1">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c r="AC430" s="124"/>
    </row>
    <row r="431" ht="13.5" customHeight="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c r="AC431" s="124"/>
    </row>
    <row r="432" ht="13.5" customHeight="1">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c r="AC432" s="124"/>
    </row>
    <row r="433" ht="13.5" customHeight="1">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c r="AC433" s="124"/>
    </row>
    <row r="434" ht="13.5" customHeight="1">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c r="AC434" s="124"/>
    </row>
    <row r="435" ht="13.5" customHeight="1">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c r="AC435" s="124"/>
    </row>
    <row r="436" ht="13.5" customHeight="1">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c r="AC436" s="124"/>
    </row>
    <row r="437" ht="13.5" customHeight="1">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c r="AC437" s="124"/>
    </row>
    <row r="438" ht="13.5" customHeight="1">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c r="AC438" s="124"/>
    </row>
    <row r="439" ht="13.5" customHeight="1">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c r="AC439" s="124"/>
    </row>
    <row r="440" ht="13.5" customHeight="1">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c r="AC440" s="124"/>
    </row>
    <row r="441" ht="13.5" customHeight="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c r="AC441" s="124"/>
    </row>
    <row r="442" ht="13.5" customHeight="1">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c r="AC442" s="124"/>
    </row>
    <row r="443" ht="13.5" customHeight="1">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c r="AC443" s="124"/>
    </row>
    <row r="444" ht="13.5" customHeight="1">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c r="AC444" s="124"/>
    </row>
    <row r="445" ht="13.5" customHeight="1">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c r="AC445" s="124"/>
    </row>
    <row r="446" ht="13.5" customHeight="1">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c r="AC446" s="124"/>
    </row>
    <row r="447" ht="13.5" customHeight="1">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c r="AC447" s="124"/>
    </row>
    <row r="448" ht="13.5" customHeight="1">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c r="AC448" s="124"/>
    </row>
    <row r="449" ht="13.5" customHeight="1">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c r="AC449" s="124"/>
    </row>
    <row r="450" ht="13.5" customHeight="1">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c r="AC450" s="124"/>
    </row>
    <row r="451" ht="13.5" customHeight="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c r="AC451" s="124"/>
    </row>
    <row r="452" ht="13.5" customHeight="1">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c r="AC452" s="124"/>
    </row>
    <row r="453" ht="13.5" customHeight="1">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c r="AC453" s="124"/>
    </row>
    <row r="454" ht="13.5" customHeight="1">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c r="AC454" s="124"/>
    </row>
    <row r="455" ht="13.5" customHeight="1">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c r="AC455" s="124"/>
    </row>
    <row r="456" ht="13.5" customHeight="1">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c r="AC456" s="124"/>
    </row>
    <row r="457" ht="13.5" customHeight="1">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c r="AC457" s="124"/>
    </row>
    <row r="458" ht="13.5" customHeight="1">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c r="AC458" s="124"/>
    </row>
    <row r="459" ht="13.5" customHeight="1">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c r="AC459" s="124"/>
    </row>
    <row r="460" ht="13.5" customHeight="1">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c r="AC460" s="124"/>
    </row>
    <row r="461" ht="13.5" customHeight="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c r="AC461" s="124"/>
    </row>
    <row r="462" ht="13.5" customHeight="1">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c r="AC462" s="124"/>
    </row>
    <row r="463" ht="13.5" customHeight="1">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c r="AC463" s="124"/>
    </row>
    <row r="464" ht="13.5" customHeight="1">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c r="AC464" s="124"/>
    </row>
    <row r="465" ht="13.5" customHeight="1">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c r="AC465" s="124"/>
    </row>
    <row r="466" ht="13.5" customHeight="1">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c r="AC466" s="124"/>
    </row>
    <row r="467" ht="13.5" customHeight="1">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c r="AC467" s="124"/>
    </row>
    <row r="468" ht="13.5" customHeight="1">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c r="AC468" s="124"/>
    </row>
    <row r="469" ht="13.5" customHeight="1">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c r="AC469" s="124"/>
    </row>
    <row r="470" ht="13.5" customHeight="1">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c r="AC470" s="124"/>
    </row>
    <row r="471" ht="13.5" customHeight="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c r="AC471" s="124"/>
    </row>
    <row r="472" ht="13.5" customHeight="1">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c r="AC472" s="124"/>
    </row>
    <row r="473" ht="13.5" customHeight="1">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c r="AC473" s="124"/>
    </row>
    <row r="474" ht="13.5" customHeight="1">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c r="AC474" s="124"/>
    </row>
    <row r="475" ht="13.5" customHeight="1">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c r="AC475" s="124"/>
    </row>
    <row r="476" ht="13.5" customHeight="1">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c r="AC476" s="124"/>
    </row>
    <row r="477" ht="13.5" customHeight="1">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c r="AC477" s="124"/>
    </row>
    <row r="478" ht="13.5" customHeight="1">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c r="AC478" s="124"/>
    </row>
    <row r="479" ht="13.5" customHeight="1">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c r="AC479" s="124"/>
    </row>
    <row r="480" ht="13.5" customHeight="1">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c r="AC480" s="124"/>
    </row>
    <row r="481" ht="13.5" customHeight="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c r="AC481" s="124"/>
    </row>
    <row r="482" ht="13.5" customHeight="1">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c r="AC482" s="124"/>
    </row>
    <row r="483" ht="13.5" customHeight="1">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c r="AC483" s="124"/>
    </row>
    <row r="484" ht="13.5" customHeight="1">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c r="AC484" s="124"/>
    </row>
    <row r="485" ht="13.5" customHeight="1">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c r="AC485" s="124"/>
    </row>
    <row r="486" ht="13.5" customHeight="1">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c r="AC486" s="124"/>
    </row>
    <row r="487" ht="13.5" customHeight="1">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c r="AC487" s="124"/>
    </row>
    <row r="488" ht="13.5" customHeight="1">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c r="AC488" s="124"/>
    </row>
    <row r="489" ht="13.5" customHeight="1">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c r="AC489" s="124"/>
    </row>
    <row r="490" ht="13.5" customHeight="1">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c r="AC490" s="124"/>
    </row>
    <row r="491" ht="13.5" customHeight="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c r="AC491" s="124"/>
    </row>
    <row r="492" ht="13.5" customHeight="1">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c r="AC492" s="124"/>
    </row>
    <row r="493" ht="13.5" customHeight="1">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c r="AC493" s="124"/>
    </row>
    <row r="494" ht="13.5" customHeight="1">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c r="AC494" s="124"/>
    </row>
    <row r="495" ht="13.5" customHeight="1">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c r="AC495" s="124"/>
    </row>
    <row r="496" ht="13.5" customHeight="1">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c r="AC496" s="124"/>
    </row>
    <row r="497" ht="13.5" customHeight="1">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c r="AC497" s="124"/>
    </row>
    <row r="498" ht="13.5" customHeight="1">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c r="AC498" s="124"/>
    </row>
    <row r="499" ht="13.5" customHeight="1">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c r="AC499" s="124"/>
    </row>
    <row r="500" ht="13.5" customHeight="1">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c r="AC500" s="124"/>
    </row>
    <row r="501" ht="13.5" customHeight="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c r="AC501" s="124"/>
    </row>
    <row r="502" ht="13.5" customHeight="1">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c r="AC502" s="124"/>
    </row>
    <row r="503" ht="13.5" customHeight="1">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c r="AC503" s="124"/>
    </row>
    <row r="504" ht="13.5" customHeight="1">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c r="AC504" s="124"/>
    </row>
    <row r="505" ht="13.5" customHeight="1">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c r="AC505" s="124"/>
    </row>
    <row r="506" ht="13.5" customHeight="1">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c r="AC506" s="124"/>
    </row>
    <row r="507" ht="13.5" customHeight="1">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c r="AC507" s="124"/>
    </row>
    <row r="508" ht="13.5" customHeight="1">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c r="AC508" s="124"/>
    </row>
    <row r="509" ht="13.5" customHeight="1">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c r="AC509" s="124"/>
    </row>
    <row r="510" ht="13.5" customHeight="1">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c r="AC510" s="124"/>
    </row>
    <row r="511" ht="13.5" customHeight="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c r="AC511" s="124"/>
    </row>
    <row r="512" ht="13.5" customHeight="1">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c r="AC512" s="124"/>
    </row>
    <row r="513" ht="13.5" customHeight="1">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c r="AC513" s="124"/>
    </row>
    <row r="514" ht="13.5" customHeight="1">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c r="AC514" s="124"/>
    </row>
    <row r="515" ht="13.5" customHeight="1">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c r="AC515" s="124"/>
    </row>
    <row r="516" ht="13.5" customHeight="1">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c r="AC516" s="124"/>
    </row>
    <row r="517" ht="13.5" customHeight="1">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c r="AC517" s="124"/>
    </row>
    <row r="518" ht="13.5" customHeight="1">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c r="AC518" s="124"/>
    </row>
    <row r="519" ht="13.5" customHeight="1">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c r="AC519" s="124"/>
    </row>
    <row r="520" ht="13.5" customHeight="1">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c r="AC520" s="124"/>
    </row>
    <row r="521" ht="13.5" customHeight="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c r="AC521" s="124"/>
    </row>
    <row r="522" ht="13.5" customHeight="1">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c r="AC522" s="124"/>
    </row>
    <row r="523" ht="13.5" customHeight="1">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c r="AC523" s="124"/>
    </row>
    <row r="524" ht="13.5" customHeight="1">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c r="AC524" s="124"/>
    </row>
    <row r="525" ht="13.5" customHeight="1">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c r="AC525" s="124"/>
    </row>
    <row r="526" ht="13.5" customHeight="1">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c r="AC526" s="124"/>
    </row>
    <row r="527" ht="13.5" customHeight="1">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c r="AC527" s="124"/>
    </row>
    <row r="528" ht="13.5" customHeight="1">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c r="AC528" s="124"/>
    </row>
    <row r="529" ht="13.5" customHeight="1">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c r="AC529" s="124"/>
    </row>
    <row r="530" ht="13.5" customHeight="1">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c r="AC530" s="124"/>
    </row>
    <row r="531" ht="13.5" customHeight="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c r="AC531" s="124"/>
    </row>
    <row r="532" ht="13.5" customHeight="1">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c r="AC532" s="124"/>
    </row>
    <row r="533" ht="13.5" customHeight="1">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c r="AC533" s="124"/>
    </row>
    <row r="534" ht="13.5" customHeight="1">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c r="AC534" s="124"/>
    </row>
    <row r="535" ht="13.5" customHeight="1">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c r="AC535" s="124"/>
    </row>
    <row r="536" ht="13.5" customHeight="1">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c r="AC536" s="124"/>
    </row>
    <row r="537" ht="13.5" customHeight="1">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c r="AC537" s="124"/>
    </row>
    <row r="538" ht="13.5" customHeight="1">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c r="AC538" s="124"/>
    </row>
    <row r="539" ht="13.5" customHeight="1">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c r="AC539" s="124"/>
    </row>
    <row r="540" ht="13.5" customHeight="1">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c r="AC540" s="124"/>
    </row>
    <row r="541" ht="13.5" customHeight="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c r="AC541" s="124"/>
    </row>
    <row r="542" ht="13.5" customHeight="1">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c r="AC542" s="124"/>
    </row>
    <row r="543" ht="13.5" customHeight="1">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c r="AC543" s="124"/>
    </row>
    <row r="544" ht="13.5" customHeight="1">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c r="AC544" s="124"/>
    </row>
    <row r="545" ht="13.5" customHeight="1">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c r="AC545" s="124"/>
    </row>
    <row r="546" ht="13.5" customHeight="1">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c r="AC546" s="124"/>
    </row>
    <row r="547" ht="13.5" customHeight="1">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c r="AC547" s="124"/>
    </row>
    <row r="548" ht="13.5" customHeight="1">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c r="AC548" s="124"/>
    </row>
    <row r="549" ht="13.5" customHeight="1">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c r="AC549" s="124"/>
    </row>
    <row r="550" ht="13.5" customHeight="1">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c r="AC550" s="124"/>
    </row>
    <row r="551" ht="13.5" customHeight="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c r="AC551" s="124"/>
    </row>
    <row r="552" ht="13.5" customHeight="1">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c r="AC552" s="124"/>
    </row>
    <row r="553" ht="13.5" customHeight="1">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c r="AC553" s="124"/>
    </row>
    <row r="554" ht="13.5" customHeight="1">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c r="AC554" s="124"/>
    </row>
    <row r="555" ht="13.5" customHeight="1">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c r="AC555" s="124"/>
    </row>
    <row r="556" ht="13.5" customHeight="1">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c r="AC556" s="124"/>
    </row>
    <row r="557" ht="13.5" customHeight="1">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c r="AC557" s="124"/>
    </row>
    <row r="558" ht="13.5" customHeight="1">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c r="AC558" s="124"/>
    </row>
    <row r="559" ht="13.5" customHeight="1">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c r="AC559" s="124"/>
    </row>
    <row r="560" ht="13.5" customHeight="1">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c r="AC560" s="124"/>
    </row>
    <row r="561" ht="13.5" customHeight="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c r="AC561" s="124"/>
    </row>
    <row r="562" ht="13.5" customHeight="1">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c r="AC562" s="124"/>
    </row>
    <row r="563" ht="13.5" customHeight="1">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c r="AC563" s="124"/>
    </row>
    <row r="564" ht="13.5" customHeight="1">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c r="AC564" s="124"/>
    </row>
    <row r="565" ht="13.5" customHeight="1">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c r="AC565" s="124"/>
    </row>
    <row r="566" ht="13.5" customHeight="1">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c r="AC566" s="124"/>
    </row>
    <row r="567" ht="13.5" customHeight="1">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c r="AC567" s="124"/>
    </row>
    <row r="568" ht="13.5" customHeight="1">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c r="AC568" s="124"/>
    </row>
    <row r="569" ht="13.5" customHeight="1">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c r="AC569" s="124"/>
    </row>
    <row r="570" ht="13.5" customHeight="1">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c r="AC570" s="124"/>
    </row>
    <row r="571" ht="13.5" customHeight="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c r="AC571" s="124"/>
    </row>
    <row r="572" ht="13.5" customHeight="1">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c r="AC572" s="124"/>
    </row>
    <row r="573" ht="13.5" customHeight="1">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c r="AC573" s="124"/>
    </row>
    <row r="574" ht="13.5" customHeight="1">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c r="AC574" s="124"/>
    </row>
    <row r="575" ht="13.5" customHeight="1">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c r="AC575" s="124"/>
    </row>
    <row r="576" ht="13.5" customHeight="1">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c r="AC576" s="124"/>
    </row>
    <row r="577" ht="13.5" customHeight="1">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c r="AC577" s="124"/>
    </row>
    <row r="578" ht="13.5" customHeight="1">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c r="AC578" s="124"/>
    </row>
    <row r="579" ht="13.5" customHeight="1">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c r="AC579" s="124"/>
    </row>
    <row r="580" ht="13.5" customHeight="1">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c r="AC580" s="124"/>
    </row>
    <row r="581" ht="13.5" customHeight="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c r="AC581" s="124"/>
    </row>
    <row r="582" ht="13.5" customHeight="1">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c r="AC582" s="124"/>
    </row>
    <row r="583" ht="13.5" customHeight="1">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c r="AC583" s="124"/>
    </row>
    <row r="584" ht="13.5" customHeight="1">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c r="AC584" s="124"/>
    </row>
    <row r="585" ht="13.5" customHeight="1">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c r="AC585" s="124"/>
    </row>
    <row r="586" ht="13.5" customHeight="1">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c r="AC586" s="124"/>
    </row>
    <row r="587" ht="13.5" customHeight="1">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c r="AC587" s="124"/>
    </row>
    <row r="588" ht="13.5" customHeight="1">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c r="AC588" s="124"/>
    </row>
    <row r="589" ht="13.5" customHeight="1">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c r="AC589" s="124"/>
    </row>
    <row r="590" ht="13.5" customHeight="1">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c r="AC590" s="124"/>
    </row>
    <row r="591" ht="13.5" customHeight="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c r="AC591" s="124"/>
    </row>
    <row r="592" ht="13.5" customHeight="1">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c r="AC592" s="124"/>
    </row>
    <row r="593" ht="13.5" customHeight="1">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c r="AC593" s="124"/>
    </row>
    <row r="594" ht="13.5" customHeight="1">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c r="AC594" s="124"/>
    </row>
    <row r="595" ht="13.5" customHeight="1">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c r="AC595" s="124"/>
    </row>
    <row r="596" ht="13.5" customHeight="1">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c r="AC596" s="124"/>
    </row>
    <row r="597" ht="13.5" customHeight="1">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c r="AC597" s="124"/>
    </row>
    <row r="598" ht="13.5" customHeight="1">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c r="AC598" s="124"/>
    </row>
    <row r="599" ht="13.5" customHeight="1">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c r="AC599" s="124"/>
    </row>
    <row r="600" ht="13.5" customHeight="1">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c r="AC600" s="124"/>
    </row>
    <row r="601" ht="13.5" customHeight="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c r="AC601" s="124"/>
    </row>
    <row r="602" ht="13.5" customHeight="1">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c r="AC602" s="124"/>
    </row>
    <row r="603" ht="13.5" customHeight="1">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c r="AC603" s="124"/>
    </row>
    <row r="604" ht="13.5" customHeight="1">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c r="AC604" s="124"/>
    </row>
    <row r="605" ht="13.5" customHeight="1">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c r="AC605" s="124"/>
    </row>
    <row r="606" ht="13.5" customHeight="1">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c r="AC606" s="124"/>
    </row>
    <row r="607" ht="13.5" customHeight="1">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c r="AC607" s="124"/>
    </row>
    <row r="608" ht="13.5" customHeight="1">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c r="AC608" s="124"/>
    </row>
    <row r="609" ht="13.5" customHeight="1">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c r="AC609" s="124"/>
    </row>
    <row r="610" ht="13.5" customHeight="1">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c r="AC610" s="124"/>
    </row>
    <row r="611" ht="13.5" customHeight="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c r="AC611" s="124"/>
    </row>
    <row r="612" ht="13.5" customHeight="1">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c r="AC612" s="124"/>
    </row>
    <row r="613" ht="13.5" customHeight="1">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c r="AC613" s="124"/>
    </row>
    <row r="614" ht="13.5" customHeight="1">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c r="AC614" s="124"/>
    </row>
    <row r="615" ht="13.5" customHeight="1">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c r="AC615" s="124"/>
    </row>
    <row r="616" ht="13.5" customHeight="1">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c r="AC616" s="124"/>
    </row>
    <row r="617" ht="13.5" customHeight="1">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c r="AC617" s="124"/>
    </row>
    <row r="618" ht="13.5" customHeight="1">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c r="AC618" s="124"/>
    </row>
    <row r="619" ht="13.5" customHeight="1">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c r="AC619" s="124"/>
    </row>
    <row r="620" ht="13.5" customHeight="1">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c r="AC620" s="124"/>
    </row>
    <row r="621" ht="13.5" customHeight="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c r="AC621" s="124"/>
    </row>
    <row r="622" ht="13.5" customHeight="1">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c r="AC622" s="124"/>
    </row>
    <row r="623" ht="13.5" customHeight="1">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c r="AC623" s="124"/>
    </row>
    <row r="624" ht="13.5" customHeight="1">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c r="AC624" s="124"/>
    </row>
    <row r="625" ht="13.5" customHeight="1">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c r="AC625" s="124"/>
    </row>
    <row r="626" ht="13.5" customHeight="1">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c r="AC626" s="124"/>
    </row>
    <row r="627" ht="13.5" customHeight="1">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c r="AC627" s="124"/>
    </row>
    <row r="628" ht="13.5" customHeight="1">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c r="AC628" s="124"/>
    </row>
    <row r="629" ht="13.5" customHeight="1">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c r="AC629" s="124"/>
    </row>
    <row r="630" ht="13.5" customHeight="1">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c r="AC630" s="124"/>
    </row>
    <row r="631" ht="13.5" customHeight="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c r="AC631" s="124"/>
    </row>
    <row r="632" ht="13.5" customHeight="1">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c r="AC632" s="124"/>
    </row>
    <row r="633" ht="13.5" customHeight="1">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c r="AC633" s="124"/>
    </row>
    <row r="634" ht="13.5" customHeight="1">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c r="AC634" s="124"/>
    </row>
    <row r="635" ht="13.5" customHeight="1">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c r="AC635" s="124"/>
    </row>
    <row r="636" ht="13.5" customHeight="1">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c r="AC636" s="124"/>
    </row>
    <row r="637" ht="13.5" customHeight="1">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c r="AC637" s="124"/>
    </row>
    <row r="638" ht="13.5" customHeight="1">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c r="AC638" s="124"/>
    </row>
    <row r="639" ht="13.5" customHeight="1">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c r="AC639" s="124"/>
    </row>
    <row r="640" ht="13.5" customHeight="1">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c r="AC640" s="124"/>
    </row>
    <row r="641" ht="13.5" customHeight="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c r="AC641" s="124"/>
    </row>
    <row r="642" ht="13.5" customHeight="1">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c r="AC642" s="124"/>
    </row>
    <row r="643" ht="13.5" customHeight="1">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c r="AC643" s="124"/>
    </row>
    <row r="644" ht="13.5" customHeight="1">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c r="AC644" s="124"/>
    </row>
    <row r="645" ht="13.5" customHeight="1">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c r="AC645" s="124"/>
    </row>
    <row r="646" ht="13.5" customHeight="1">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c r="AC646" s="124"/>
    </row>
    <row r="647" ht="13.5" customHeight="1">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c r="AC647" s="124"/>
    </row>
    <row r="648" ht="13.5" customHeight="1">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c r="AC648" s="124"/>
    </row>
    <row r="649" ht="13.5" customHeight="1">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c r="AC649" s="124"/>
    </row>
    <row r="650" ht="13.5" customHeight="1">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c r="AC650" s="124"/>
    </row>
    <row r="651" ht="13.5" customHeight="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c r="AC651" s="124"/>
    </row>
    <row r="652" ht="13.5" customHeight="1">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c r="AC652" s="124"/>
    </row>
    <row r="653" ht="13.5" customHeight="1">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c r="AC653" s="124"/>
    </row>
    <row r="654" ht="13.5" customHeight="1">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c r="AC654" s="124"/>
    </row>
    <row r="655" ht="13.5" customHeight="1">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c r="AC655" s="124"/>
    </row>
    <row r="656" ht="13.5" customHeight="1">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c r="AC656" s="124"/>
    </row>
    <row r="657" ht="13.5" customHeight="1">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c r="AC657" s="124"/>
    </row>
    <row r="658" ht="13.5" customHeight="1">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c r="AC658" s="124"/>
    </row>
    <row r="659" ht="13.5" customHeight="1">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c r="AC659" s="124"/>
    </row>
    <row r="660" ht="13.5" customHeight="1">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c r="AC660" s="124"/>
    </row>
    <row r="661" ht="13.5" customHeight="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c r="AC661" s="124"/>
    </row>
    <row r="662" ht="13.5" customHeight="1">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c r="AC662" s="124"/>
    </row>
    <row r="663" ht="13.5" customHeight="1">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c r="AC663" s="124"/>
    </row>
    <row r="664" ht="13.5" customHeight="1">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c r="AC664" s="124"/>
    </row>
    <row r="665" ht="13.5" customHeight="1">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c r="AC665" s="124"/>
    </row>
    <row r="666" ht="13.5" customHeight="1">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c r="AC666" s="124"/>
    </row>
    <row r="667" ht="13.5" customHeight="1">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c r="AC667" s="124"/>
    </row>
    <row r="668" ht="13.5" customHeight="1">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c r="AC668" s="124"/>
    </row>
    <row r="669" ht="13.5" customHeight="1">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c r="AC669" s="124"/>
    </row>
    <row r="670" ht="13.5" customHeight="1">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c r="AC670" s="124"/>
    </row>
    <row r="671" ht="13.5" customHeight="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c r="AC671" s="124"/>
    </row>
    <row r="672" ht="13.5" customHeight="1">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c r="AC672" s="124"/>
    </row>
    <row r="673" ht="13.5" customHeight="1">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c r="AC673" s="124"/>
    </row>
    <row r="674" ht="13.5" customHeight="1">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c r="AC674" s="124"/>
    </row>
    <row r="675" ht="13.5" customHeight="1">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c r="AC675" s="124"/>
    </row>
    <row r="676" ht="13.5" customHeight="1">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c r="AC676" s="124"/>
    </row>
    <row r="677" ht="13.5" customHeight="1">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c r="AC677" s="124"/>
    </row>
    <row r="678" ht="13.5" customHeight="1">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c r="AC678" s="124"/>
    </row>
    <row r="679" ht="13.5" customHeight="1">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c r="AC679" s="124"/>
    </row>
    <row r="680" ht="13.5" customHeight="1">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c r="AC680" s="124"/>
    </row>
    <row r="681" ht="13.5" customHeight="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c r="AC681" s="124"/>
    </row>
    <row r="682" ht="13.5" customHeight="1">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c r="AC682" s="124"/>
    </row>
    <row r="683" ht="13.5" customHeight="1">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c r="AC683" s="124"/>
    </row>
    <row r="684" ht="13.5" customHeight="1">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c r="AC684" s="124"/>
    </row>
    <row r="685" ht="13.5" customHeight="1">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c r="AC685" s="124"/>
    </row>
    <row r="686" ht="13.5" customHeight="1">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c r="AC686" s="124"/>
    </row>
    <row r="687" ht="13.5" customHeight="1">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c r="AC687" s="124"/>
    </row>
    <row r="688" ht="13.5" customHeight="1">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c r="AC688" s="124"/>
    </row>
    <row r="689" ht="13.5" customHeight="1">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c r="AC689" s="124"/>
    </row>
    <row r="690" ht="13.5" customHeight="1">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c r="AC690" s="124"/>
    </row>
    <row r="691" ht="13.5" customHeight="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c r="AC691" s="124"/>
    </row>
    <row r="692" ht="13.5" customHeight="1">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c r="AC692" s="124"/>
    </row>
    <row r="693" ht="13.5" customHeight="1">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c r="AC693" s="124"/>
    </row>
    <row r="694" ht="13.5" customHeight="1">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c r="AC694" s="124"/>
    </row>
    <row r="695" ht="13.5" customHeight="1">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c r="AC695" s="124"/>
    </row>
    <row r="696" ht="13.5" customHeight="1">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c r="AC696" s="124"/>
    </row>
    <row r="697" ht="13.5" customHeight="1">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c r="AC697" s="124"/>
    </row>
    <row r="698" ht="13.5" customHeight="1">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c r="AC698" s="124"/>
    </row>
    <row r="699" ht="13.5" customHeight="1">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c r="AC699" s="124"/>
    </row>
    <row r="700" ht="13.5" customHeight="1">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c r="AC700" s="124"/>
    </row>
    <row r="701" ht="13.5" customHeight="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c r="AC701" s="124"/>
    </row>
    <row r="702" ht="13.5" customHeight="1">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c r="AC702" s="124"/>
    </row>
    <row r="703" ht="13.5" customHeight="1">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c r="AC703" s="124"/>
    </row>
    <row r="704" ht="13.5" customHeight="1">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c r="AC704" s="124"/>
    </row>
    <row r="705" ht="13.5" customHeight="1">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c r="AC705" s="124"/>
    </row>
    <row r="706" ht="13.5" customHeight="1">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c r="AC706" s="124"/>
    </row>
    <row r="707" ht="13.5" customHeight="1">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c r="AC707" s="124"/>
    </row>
    <row r="708" ht="13.5" customHeight="1">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c r="AC708" s="124"/>
    </row>
    <row r="709" ht="13.5" customHeight="1">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c r="AC709" s="124"/>
    </row>
    <row r="710" ht="13.5" customHeight="1">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c r="AC710" s="124"/>
    </row>
    <row r="711" ht="13.5" customHeight="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c r="AC711" s="124"/>
    </row>
    <row r="712" ht="13.5" customHeight="1">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c r="AC712" s="124"/>
    </row>
    <row r="713" ht="13.5" customHeight="1">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c r="AC713" s="124"/>
    </row>
    <row r="714" ht="13.5" customHeight="1">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c r="AC714" s="124"/>
    </row>
    <row r="715" ht="13.5" customHeight="1">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c r="AC715" s="124"/>
    </row>
    <row r="716" ht="13.5" customHeight="1">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c r="AC716" s="124"/>
    </row>
    <row r="717" ht="13.5" customHeight="1">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c r="AC717" s="124"/>
    </row>
    <row r="718" ht="13.5" customHeight="1">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c r="AC718" s="124"/>
    </row>
    <row r="719" ht="13.5" customHeight="1">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c r="AC719" s="124"/>
    </row>
    <row r="720" ht="13.5" customHeight="1">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c r="AC720" s="124"/>
    </row>
    <row r="721" ht="13.5" customHeight="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c r="AC721" s="124"/>
    </row>
    <row r="722" ht="13.5" customHeight="1">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c r="AC722" s="124"/>
    </row>
    <row r="723" ht="13.5" customHeight="1">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c r="AC723" s="124"/>
    </row>
    <row r="724" ht="13.5" customHeight="1">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c r="AC724" s="124"/>
    </row>
    <row r="725" ht="13.5" customHeight="1">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c r="AC725" s="124"/>
    </row>
    <row r="726" ht="13.5" customHeight="1">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c r="AC726" s="124"/>
    </row>
    <row r="727" ht="13.5" customHeight="1">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c r="AC727" s="124"/>
    </row>
    <row r="728" ht="13.5" customHeight="1">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c r="AC728" s="124"/>
    </row>
    <row r="729" ht="13.5" customHeight="1">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c r="AC729" s="124"/>
    </row>
    <row r="730" ht="13.5" customHeight="1">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c r="AC730" s="124"/>
    </row>
    <row r="731" ht="13.5" customHeight="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c r="AC731" s="124"/>
    </row>
    <row r="732" ht="13.5" customHeight="1">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c r="AC732" s="124"/>
    </row>
    <row r="733" ht="13.5" customHeight="1">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c r="AC733" s="124"/>
    </row>
    <row r="734" ht="13.5" customHeight="1">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c r="AC734" s="124"/>
    </row>
    <row r="735" ht="13.5" customHeight="1">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c r="AC735" s="124"/>
    </row>
    <row r="736" ht="13.5" customHeight="1">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c r="AC736" s="124"/>
    </row>
    <row r="737" ht="13.5" customHeight="1">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c r="AC737" s="124"/>
    </row>
    <row r="738" ht="13.5" customHeight="1">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c r="AC738" s="124"/>
    </row>
    <row r="739" ht="13.5" customHeight="1">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c r="AC739" s="124"/>
    </row>
    <row r="740" ht="13.5" customHeight="1">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c r="AC740" s="124"/>
    </row>
    <row r="741" ht="13.5" customHeight="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c r="AC741" s="124"/>
    </row>
    <row r="742" ht="13.5" customHeight="1">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c r="AC742" s="124"/>
    </row>
    <row r="743" ht="13.5" customHeight="1">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c r="AC743" s="124"/>
    </row>
    <row r="744" ht="13.5" customHeight="1">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c r="AC744" s="124"/>
    </row>
    <row r="745" ht="13.5" customHeight="1">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c r="AC745" s="124"/>
    </row>
    <row r="746" ht="13.5" customHeight="1">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c r="AC746" s="124"/>
    </row>
    <row r="747" ht="13.5" customHeight="1">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c r="AC747" s="124"/>
    </row>
    <row r="748" ht="13.5" customHeight="1">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c r="AC748" s="124"/>
    </row>
    <row r="749" ht="13.5" customHeight="1">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c r="AC749" s="124"/>
    </row>
    <row r="750" ht="13.5" customHeight="1">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c r="AC750" s="124"/>
    </row>
    <row r="751" ht="13.5" customHeight="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c r="AC751" s="124"/>
    </row>
    <row r="752" ht="13.5" customHeight="1">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c r="AC752" s="124"/>
    </row>
    <row r="753" ht="13.5" customHeight="1">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c r="AC753" s="124"/>
    </row>
    <row r="754" ht="13.5" customHeight="1">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c r="AC754" s="124"/>
    </row>
    <row r="755" ht="13.5" customHeight="1">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c r="AC755" s="124"/>
    </row>
    <row r="756" ht="13.5" customHeight="1">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c r="AC756" s="124"/>
    </row>
    <row r="757" ht="13.5" customHeight="1">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c r="AC757" s="124"/>
    </row>
    <row r="758" ht="13.5" customHeight="1">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c r="AC758" s="124"/>
    </row>
    <row r="759" ht="13.5" customHeight="1">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c r="AC759" s="124"/>
    </row>
    <row r="760" ht="13.5" customHeight="1">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c r="AC760" s="124"/>
    </row>
    <row r="761" ht="13.5" customHeight="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c r="AC761" s="124"/>
    </row>
    <row r="762" ht="13.5" customHeight="1">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c r="AC762" s="124"/>
    </row>
    <row r="763" ht="13.5" customHeight="1">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c r="AC763" s="124"/>
    </row>
    <row r="764" ht="13.5" customHeight="1">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c r="AC764" s="124"/>
    </row>
    <row r="765" ht="13.5" customHeight="1">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c r="AC765" s="124"/>
    </row>
    <row r="766" ht="13.5" customHeight="1">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c r="AC766" s="124"/>
    </row>
    <row r="767" ht="13.5" customHeight="1">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c r="AC767" s="124"/>
    </row>
    <row r="768" ht="13.5" customHeight="1">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c r="AC768" s="124"/>
    </row>
    <row r="769" ht="13.5" customHeight="1">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c r="AC769" s="124"/>
    </row>
    <row r="770" ht="13.5" customHeight="1">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c r="AC770" s="124"/>
    </row>
    <row r="771" ht="13.5" customHeight="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c r="AC771" s="124"/>
    </row>
    <row r="772" ht="13.5" customHeight="1">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c r="AC772" s="124"/>
    </row>
    <row r="773" ht="13.5" customHeight="1">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c r="AC773" s="124"/>
    </row>
    <row r="774" ht="13.5" customHeight="1">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c r="AC774" s="124"/>
    </row>
    <row r="775" ht="13.5" customHeight="1">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c r="AC775" s="124"/>
    </row>
    <row r="776" ht="13.5" customHeight="1">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c r="AC776" s="124"/>
    </row>
    <row r="777" ht="13.5" customHeight="1">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c r="AC777" s="124"/>
    </row>
    <row r="778" ht="13.5" customHeight="1">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c r="AC778" s="124"/>
    </row>
    <row r="779" ht="13.5" customHeight="1">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c r="AC779" s="124"/>
    </row>
    <row r="780" ht="13.5" customHeight="1">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c r="AC780" s="124"/>
    </row>
    <row r="781" ht="13.5" customHeight="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c r="AC781" s="124"/>
    </row>
    <row r="782" ht="13.5" customHeight="1">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c r="AC782" s="124"/>
    </row>
    <row r="783" ht="13.5" customHeight="1">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c r="AC783" s="124"/>
    </row>
    <row r="784" ht="13.5" customHeight="1">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c r="AC784" s="124"/>
    </row>
    <row r="785" ht="13.5" customHeight="1">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c r="AC785" s="124"/>
    </row>
    <row r="786" ht="13.5" customHeight="1">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c r="AC786" s="124"/>
    </row>
    <row r="787" ht="13.5" customHeight="1">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c r="AC787" s="124"/>
    </row>
    <row r="788" ht="13.5" customHeight="1">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c r="AC788" s="124"/>
    </row>
    <row r="789" ht="13.5" customHeight="1">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c r="AC789" s="124"/>
    </row>
    <row r="790" ht="13.5" customHeight="1">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c r="AC790" s="124"/>
    </row>
    <row r="791" ht="13.5" customHeight="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c r="AC791" s="124"/>
    </row>
    <row r="792" ht="13.5" customHeight="1">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c r="AC792" s="124"/>
    </row>
    <row r="793" ht="13.5" customHeight="1">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c r="AC793" s="124"/>
    </row>
    <row r="794" ht="13.5" customHeight="1">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c r="AC794" s="124"/>
    </row>
    <row r="795" ht="13.5" customHeight="1">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c r="AC795" s="124"/>
    </row>
    <row r="796" ht="13.5" customHeight="1">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c r="AC796" s="124"/>
    </row>
    <row r="797" ht="13.5" customHeight="1">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c r="AC797" s="124"/>
    </row>
    <row r="798" ht="13.5" customHeight="1">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c r="AC798" s="124"/>
    </row>
    <row r="799" ht="13.5" customHeight="1">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c r="AC799" s="124"/>
    </row>
    <row r="800" ht="13.5" customHeight="1">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c r="AC800" s="124"/>
    </row>
    <row r="801" ht="13.5" customHeight="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c r="AC801" s="124"/>
    </row>
    <row r="802" ht="13.5" customHeight="1">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c r="AC802" s="124"/>
    </row>
    <row r="803" ht="13.5" customHeight="1">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c r="AC803" s="124"/>
    </row>
    <row r="804" ht="13.5" customHeight="1">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c r="AC804" s="124"/>
    </row>
    <row r="805" ht="13.5" customHeight="1">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c r="AC805" s="124"/>
    </row>
    <row r="806" ht="13.5" customHeight="1">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c r="AC806" s="124"/>
    </row>
    <row r="807" ht="13.5" customHeight="1">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c r="AC807" s="124"/>
    </row>
    <row r="808" ht="13.5" customHeight="1">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c r="AC808" s="124"/>
    </row>
    <row r="809" ht="13.5" customHeight="1">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c r="AC809" s="124"/>
    </row>
    <row r="810" ht="13.5" customHeight="1">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c r="AC810" s="124"/>
    </row>
    <row r="811" ht="13.5" customHeight="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c r="AC811" s="124"/>
    </row>
    <row r="812" ht="13.5" customHeight="1">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c r="AC812" s="124"/>
    </row>
    <row r="813" ht="13.5" customHeight="1">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c r="AC813" s="124"/>
    </row>
    <row r="814" ht="13.5" customHeight="1">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c r="AC814" s="124"/>
    </row>
    <row r="815" ht="13.5" customHeight="1">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c r="AC815" s="124"/>
    </row>
    <row r="816" ht="13.5" customHeight="1">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c r="AC816" s="124"/>
    </row>
    <row r="817" ht="13.5" customHeight="1">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c r="AC817" s="124"/>
    </row>
    <row r="818" ht="13.5" customHeight="1">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c r="AC818" s="124"/>
    </row>
    <row r="819" ht="13.5" customHeight="1">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c r="AC819" s="124"/>
    </row>
    <row r="820" ht="13.5" customHeight="1">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c r="AC820" s="124"/>
    </row>
    <row r="821" ht="13.5" customHeight="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c r="AC821" s="124"/>
    </row>
    <row r="822" ht="13.5" customHeight="1">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c r="AC822" s="124"/>
    </row>
    <row r="823" ht="13.5" customHeight="1">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c r="AC823" s="124"/>
    </row>
    <row r="824" ht="13.5" customHeight="1">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c r="AC824" s="124"/>
    </row>
    <row r="825" ht="13.5" customHeight="1">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c r="AC825" s="124"/>
    </row>
    <row r="826" ht="13.5" customHeight="1">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c r="AC826" s="124"/>
    </row>
    <row r="827" ht="13.5" customHeight="1">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c r="AC827" s="124"/>
    </row>
    <row r="828" ht="13.5" customHeight="1">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c r="AC828" s="124"/>
    </row>
    <row r="829" ht="13.5" customHeight="1">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c r="AC829" s="124"/>
    </row>
    <row r="830" ht="13.5" customHeight="1">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c r="AC830" s="124"/>
    </row>
    <row r="831" ht="13.5" customHeight="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c r="AC831" s="124"/>
    </row>
    <row r="832" ht="13.5" customHeight="1">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c r="AC832" s="124"/>
    </row>
    <row r="833" ht="13.5" customHeight="1">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c r="AC833" s="124"/>
    </row>
    <row r="834" ht="13.5" customHeight="1">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c r="AC834" s="124"/>
    </row>
    <row r="835" ht="13.5" customHeight="1">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c r="AC835" s="124"/>
    </row>
    <row r="836" ht="13.5" customHeight="1">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c r="AC836" s="124"/>
    </row>
    <row r="837" ht="13.5" customHeight="1">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c r="AC837" s="124"/>
    </row>
    <row r="838" ht="13.5" customHeight="1">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c r="AC838" s="124"/>
    </row>
    <row r="839" ht="13.5" customHeight="1">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c r="AC839" s="124"/>
    </row>
    <row r="840" ht="13.5" customHeight="1">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c r="AC840" s="124"/>
    </row>
    <row r="841" ht="13.5" customHeight="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c r="AC841" s="124"/>
    </row>
    <row r="842" ht="13.5" customHeight="1">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c r="AC842" s="124"/>
    </row>
    <row r="843" ht="13.5" customHeight="1">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c r="AC843" s="124"/>
    </row>
    <row r="844" ht="13.5" customHeight="1">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c r="AC844" s="124"/>
    </row>
    <row r="845" ht="13.5" customHeight="1">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c r="AC845" s="124"/>
    </row>
    <row r="846" ht="13.5" customHeight="1">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c r="AC846" s="124"/>
    </row>
    <row r="847" ht="13.5" customHeight="1">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c r="AC847" s="124"/>
    </row>
    <row r="848" ht="13.5" customHeight="1">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c r="AC848" s="124"/>
    </row>
    <row r="849" ht="13.5" customHeight="1">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c r="AC849" s="124"/>
    </row>
    <row r="850" ht="13.5" customHeight="1">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c r="AC850" s="124"/>
    </row>
    <row r="851" ht="13.5" customHeight="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c r="AC851" s="124"/>
    </row>
    <row r="852" ht="13.5" customHeight="1">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c r="AC852" s="124"/>
    </row>
    <row r="853" ht="13.5" customHeight="1">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c r="AC853" s="124"/>
    </row>
    <row r="854" ht="13.5" customHeight="1">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c r="AC854" s="124"/>
    </row>
    <row r="855" ht="13.5" customHeight="1">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c r="AC855" s="124"/>
    </row>
    <row r="856" ht="13.5" customHeight="1">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c r="AC856" s="124"/>
    </row>
    <row r="857" ht="13.5" customHeight="1">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c r="AC857" s="124"/>
    </row>
    <row r="858" ht="13.5" customHeight="1">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c r="AC858" s="124"/>
    </row>
    <row r="859" ht="13.5" customHeight="1">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c r="AC859" s="124"/>
    </row>
    <row r="860" ht="13.5" customHeight="1">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c r="AC860" s="124"/>
    </row>
    <row r="861" ht="13.5" customHeight="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c r="AC861" s="124"/>
    </row>
    <row r="862" ht="13.5" customHeight="1">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c r="AC862" s="124"/>
    </row>
    <row r="863" ht="13.5" customHeight="1">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c r="AC863" s="124"/>
    </row>
    <row r="864" ht="13.5" customHeight="1">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c r="AC864" s="124"/>
    </row>
    <row r="865" ht="13.5" customHeight="1">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c r="AC865" s="124"/>
    </row>
    <row r="866" ht="13.5" customHeight="1">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c r="AC866" s="124"/>
    </row>
    <row r="867" ht="13.5" customHeight="1">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c r="AC867" s="124"/>
    </row>
    <row r="868" ht="13.5" customHeight="1">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c r="AC868" s="124"/>
    </row>
    <row r="869" ht="13.5" customHeight="1">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c r="AC869" s="124"/>
    </row>
    <row r="870" ht="13.5" customHeight="1">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c r="AC870" s="124"/>
    </row>
    <row r="871" ht="13.5" customHeight="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c r="AC871" s="124"/>
    </row>
    <row r="872" ht="13.5" customHeight="1">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c r="AC872" s="124"/>
    </row>
    <row r="873" ht="13.5" customHeight="1">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c r="AC873" s="124"/>
    </row>
    <row r="874" ht="13.5" customHeight="1">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c r="AC874" s="124"/>
    </row>
    <row r="875" ht="13.5" customHeight="1">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c r="AC875" s="124"/>
    </row>
    <row r="876" ht="13.5" customHeight="1">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c r="AC876" s="124"/>
    </row>
    <row r="877" ht="13.5" customHeight="1">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c r="AC877" s="124"/>
    </row>
    <row r="878" ht="13.5" customHeight="1">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c r="AC878" s="124"/>
    </row>
    <row r="879" ht="13.5" customHeight="1">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c r="AC879" s="124"/>
    </row>
    <row r="880" ht="13.5" customHeight="1">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c r="AC880" s="124"/>
    </row>
    <row r="881" ht="13.5" customHeight="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c r="AC881" s="124"/>
    </row>
    <row r="882" ht="13.5" customHeight="1">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c r="AC882" s="124"/>
    </row>
    <row r="883" ht="13.5" customHeight="1">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c r="AC883" s="124"/>
    </row>
    <row r="884" ht="13.5" customHeight="1">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c r="AC884" s="124"/>
    </row>
    <row r="885" ht="13.5" customHeight="1">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c r="AC885" s="124"/>
    </row>
    <row r="886" ht="13.5" customHeight="1">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c r="AC886" s="124"/>
    </row>
    <row r="887" ht="13.5" customHeight="1">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c r="AC887" s="124"/>
    </row>
    <row r="888" ht="13.5" customHeight="1">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c r="AC888" s="124"/>
    </row>
    <row r="889" ht="13.5" customHeight="1">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c r="AC889" s="124"/>
    </row>
    <row r="890" ht="13.5" customHeight="1">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c r="AC890" s="124"/>
    </row>
    <row r="891" ht="13.5" customHeight="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c r="AC891" s="124"/>
    </row>
    <row r="892" ht="13.5" customHeight="1">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c r="AC892" s="124"/>
    </row>
    <row r="893" ht="13.5" customHeight="1">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c r="AC893" s="124"/>
    </row>
    <row r="894" ht="13.5" customHeight="1">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c r="AC894" s="124"/>
    </row>
    <row r="895" ht="13.5" customHeight="1">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c r="AC895" s="124"/>
    </row>
    <row r="896" ht="13.5" customHeight="1">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c r="AC896" s="124"/>
    </row>
    <row r="897" ht="13.5" customHeight="1">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c r="AC897" s="124"/>
    </row>
    <row r="898" ht="13.5" customHeight="1">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c r="AC898" s="124"/>
    </row>
    <row r="899" ht="13.5" customHeight="1">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c r="AC899" s="124"/>
    </row>
    <row r="900" ht="13.5" customHeight="1">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c r="AC900" s="124"/>
    </row>
    <row r="901" ht="13.5" customHeight="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c r="AC901" s="124"/>
    </row>
    <row r="902" ht="13.5" customHeight="1">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c r="AC902" s="124"/>
    </row>
    <row r="903" ht="13.5" customHeight="1">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c r="AC903" s="124"/>
    </row>
    <row r="904" ht="13.5" customHeight="1">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c r="AC904" s="124"/>
    </row>
    <row r="905" ht="13.5" customHeight="1">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c r="AC905" s="124"/>
    </row>
    <row r="906" ht="13.5" customHeight="1">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c r="AC906" s="124"/>
    </row>
    <row r="907" ht="13.5" customHeight="1">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c r="AC907" s="124"/>
    </row>
    <row r="908" ht="13.5" customHeight="1">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c r="AC908" s="124"/>
    </row>
    <row r="909" ht="13.5" customHeight="1">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c r="AC909" s="124"/>
    </row>
    <row r="910" ht="13.5" customHeight="1">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c r="AC910" s="124"/>
    </row>
    <row r="911" ht="13.5" customHeight="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c r="AC911" s="124"/>
    </row>
    <row r="912" ht="13.5" customHeight="1">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c r="AC912" s="124"/>
    </row>
    <row r="913" ht="13.5" customHeight="1">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c r="AC913" s="124"/>
    </row>
    <row r="914" ht="13.5" customHeight="1">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c r="AC914" s="124"/>
    </row>
    <row r="915" ht="13.5" customHeight="1">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c r="AC915" s="124"/>
    </row>
    <row r="916" ht="13.5" customHeight="1">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c r="AC916" s="124"/>
    </row>
    <row r="917" ht="13.5" customHeight="1">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c r="AC917" s="124"/>
    </row>
    <row r="918" ht="13.5" customHeight="1">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c r="AC918" s="124"/>
    </row>
    <row r="919" ht="13.5" customHeight="1">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c r="AC919" s="124"/>
    </row>
    <row r="920" ht="13.5" customHeight="1">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c r="AC920" s="124"/>
    </row>
    <row r="921" ht="13.5" customHeight="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c r="AC921" s="124"/>
    </row>
    <row r="922" ht="13.5" customHeight="1">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c r="AC922" s="124"/>
    </row>
    <row r="923" ht="13.5" customHeight="1">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c r="AC923" s="124"/>
    </row>
    <row r="924" ht="13.5" customHeight="1">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c r="AC924" s="124"/>
    </row>
    <row r="925" ht="13.5" customHeight="1">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c r="AC925" s="124"/>
    </row>
    <row r="926" ht="13.5" customHeight="1">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c r="AC926" s="124"/>
    </row>
    <row r="927" ht="13.5" customHeight="1">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c r="AC927" s="124"/>
    </row>
    <row r="928" ht="13.5" customHeight="1">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c r="AC928" s="124"/>
    </row>
    <row r="929" ht="13.5" customHeight="1">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c r="AC929" s="124"/>
    </row>
    <row r="930" ht="13.5" customHeight="1">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c r="AC930" s="124"/>
    </row>
    <row r="931" ht="13.5" customHeight="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c r="AC931" s="124"/>
    </row>
    <row r="932" ht="13.5" customHeight="1">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c r="AC932" s="124"/>
    </row>
    <row r="933" ht="13.5" customHeight="1">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c r="AC933" s="124"/>
    </row>
    <row r="934" ht="13.5" customHeight="1">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c r="AC934" s="124"/>
    </row>
    <row r="935" ht="13.5" customHeight="1">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c r="AC935" s="124"/>
    </row>
    <row r="936" ht="13.5" customHeight="1">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c r="AC936" s="124"/>
    </row>
    <row r="937" ht="13.5" customHeight="1">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c r="AC937" s="124"/>
    </row>
    <row r="938" ht="13.5" customHeight="1">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c r="AC938" s="124"/>
    </row>
    <row r="939" ht="13.5" customHeight="1">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c r="AC939" s="124"/>
    </row>
    <row r="940" ht="13.5" customHeight="1">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c r="AC940" s="124"/>
    </row>
    <row r="941" ht="13.5" customHeight="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c r="AC941" s="124"/>
    </row>
    <row r="942" ht="13.5" customHeight="1">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c r="AC942" s="124"/>
    </row>
    <row r="943" ht="13.5" customHeight="1">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c r="AC943" s="124"/>
    </row>
    <row r="944" ht="13.5" customHeight="1">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c r="AC944" s="124"/>
    </row>
    <row r="945" ht="13.5" customHeight="1">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c r="AC945" s="124"/>
    </row>
    <row r="946" ht="13.5" customHeight="1">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c r="AC946" s="124"/>
    </row>
    <row r="947" ht="13.5" customHeight="1">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c r="AC947" s="124"/>
    </row>
    <row r="948" ht="13.5" customHeight="1">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c r="AC948" s="124"/>
    </row>
    <row r="949" ht="13.5" customHeight="1">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c r="AC949" s="124"/>
    </row>
    <row r="950" ht="13.5" customHeight="1">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c r="AC950" s="124"/>
    </row>
    <row r="951" ht="13.5" customHeight="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c r="AC951" s="124"/>
    </row>
    <row r="952" ht="13.5" customHeight="1">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c r="AC952" s="124"/>
    </row>
    <row r="953" ht="13.5" customHeight="1">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c r="AC953" s="124"/>
    </row>
    <row r="954" ht="13.5" customHeight="1">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c r="AC954" s="124"/>
    </row>
    <row r="955" ht="13.5" customHeight="1">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c r="AC955" s="124"/>
    </row>
    <row r="956" ht="13.5" customHeight="1">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c r="AC956" s="124"/>
    </row>
    <row r="957" ht="13.5" customHeight="1">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c r="AC957" s="124"/>
    </row>
    <row r="958" ht="13.5" customHeight="1">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c r="AC958" s="124"/>
    </row>
    <row r="959" ht="13.5" customHeight="1">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c r="AC959" s="124"/>
    </row>
    <row r="960" ht="13.5" customHeight="1">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c r="AC960" s="124"/>
    </row>
    <row r="961" ht="13.5" customHeight="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c r="AC961" s="124"/>
    </row>
    <row r="962" ht="13.5" customHeight="1">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c r="AC962" s="124"/>
    </row>
    <row r="963" ht="13.5" customHeight="1">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c r="AC963" s="124"/>
    </row>
    <row r="964" ht="13.5" customHeight="1">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c r="AC964" s="124"/>
    </row>
    <row r="965" ht="13.5" customHeight="1">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c r="AC965" s="124"/>
    </row>
    <row r="966" ht="13.5" customHeight="1">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c r="AC966" s="124"/>
    </row>
    <row r="967" ht="13.5" customHeight="1">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c r="AC967" s="124"/>
    </row>
    <row r="968" ht="13.5" customHeight="1">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c r="AC968" s="124"/>
    </row>
    <row r="969" ht="13.5" customHeight="1">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c r="AC969" s="124"/>
    </row>
    <row r="970" ht="13.5" customHeight="1">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c r="AC970" s="124"/>
    </row>
    <row r="971" ht="13.5" customHeight="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c r="AC971" s="124"/>
    </row>
    <row r="972" ht="13.5" customHeight="1">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c r="AC972" s="124"/>
    </row>
    <row r="973" ht="13.5" customHeight="1">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c r="AC973" s="124"/>
    </row>
    <row r="974" ht="13.5" customHeight="1">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c r="AC974" s="124"/>
    </row>
    <row r="975" ht="13.5" customHeight="1">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c r="AC975" s="124"/>
    </row>
    <row r="976" ht="13.5" customHeight="1">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c r="AC976" s="124"/>
    </row>
    <row r="977" ht="13.5" customHeight="1">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c r="AC977" s="124"/>
    </row>
    <row r="978" ht="13.5" customHeight="1">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c r="AC978" s="124"/>
    </row>
    <row r="979" ht="13.5" customHeight="1">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c r="AC979" s="124"/>
    </row>
    <row r="980" ht="13.5" customHeight="1">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c r="AC980" s="124"/>
    </row>
    <row r="981" ht="13.5" customHeight="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c r="AC981" s="124"/>
    </row>
    <row r="982" ht="13.5" customHeight="1">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c r="AC982" s="124"/>
    </row>
    <row r="983" ht="13.5" customHeight="1">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c r="AC983" s="124"/>
    </row>
    <row r="984" ht="13.5" customHeight="1">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c r="AC984" s="124"/>
    </row>
    <row r="985" ht="13.5" customHeight="1">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c r="AC985" s="124"/>
    </row>
    <row r="986" ht="13.5" customHeight="1">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c r="AC986" s="124"/>
    </row>
    <row r="987" ht="13.5" customHeight="1">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c r="AC987" s="124"/>
    </row>
    <row r="988" ht="13.5" customHeight="1">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c r="AC988" s="124"/>
    </row>
    <row r="989" ht="13.5" customHeight="1">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c r="AC989" s="124"/>
    </row>
    <row r="990" ht="13.5" customHeight="1">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c r="AC990" s="124"/>
    </row>
    <row r="991" ht="13.5" customHeight="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c r="AC991" s="124"/>
    </row>
    <row r="992" ht="13.5" customHeight="1">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c r="AC992" s="124"/>
    </row>
    <row r="993" ht="13.5" customHeight="1">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c r="AC993" s="124"/>
    </row>
    <row r="994" ht="13.5" customHeight="1">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c r="AC994" s="124"/>
    </row>
    <row r="995" ht="13.5" customHeight="1">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c r="AC995" s="124"/>
    </row>
    <row r="996" ht="13.5" customHeight="1">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c r="AC996" s="124"/>
    </row>
    <row r="997" ht="13.5" customHeight="1">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c r="AC997" s="124"/>
    </row>
    <row r="998" ht="13.5" customHeight="1">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c r="AC998" s="124"/>
    </row>
    <row r="999" ht="13.5" customHeight="1">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c r="AC999" s="124"/>
    </row>
    <row r="1000" ht="13.5" customHeight="1">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c r="AB1000" s="124"/>
      <c r="AC1000" s="124"/>
    </row>
  </sheetData>
  <mergeCells count="3">
    <mergeCell ref="E2:J4"/>
    <mergeCell ref="W4:Z5"/>
    <mergeCell ref="AA11:AC11"/>
  </mergeCells>
  <printOptions/>
  <pageMargins bottom="0.75" footer="0.0" header="0.0" left="0.7" right="0.7" top="0.75"/>
  <pageSetup orientation="portrait"/>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15.43"/>
    <col customWidth="1" min="5" max="5" width="27.71"/>
    <col customWidth="1" min="6" max="6" width="23.43"/>
    <col customWidth="1" min="7" max="7" width="43.0"/>
  </cols>
  <sheetData>
    <row r="15" ht="22.5" customHeight="1">
      <c r="D15" s="200" t="s">
        <v>1012</v>
      </c>
      <c r="E15" s="200" t="s">
        <v>1013</v>
      </c>
      <c r="F15" s="200" t="s">
        <v>1014</v>
      </c>
      <c r="G15" s="201" t="s">
        <v>1015</v>
      </c>
    </row>
    <row r="16" ht="22.5" customHeight="1">
      <c r="D16" s="202" t="s">
        <v>1016</v>
      </c>
      <c r="E16" s="202" t="s">
        <v>1017</v>
      </c>
      <c r="F16" s="202" t="s">
        <v>1018</v>
      </c>
      <c r="G16" s="203" t="s">
        <v>1019</v>
      </c>
    </row>
    <row r="17" ht="22.5" customHeight="1">
      <c r="D17" s="202" t="s">
        <v>1020</v>
      </c>
      <c r="E17" s="202" t="s">
        <v>1021</v>
      </c>
      <c r="F17" s="202" t="s">
        <v>1022</v>
      </c>
      <c r="G17" s="203" t="s">
        <v>1023</v>
      </c>
    </row>
    <row r="18" ht="22.5" customHeight="1">
      <c r="D18" s="202" t="s">
        <v>1024</v>
      </c>
      <c r="E18" s="202" t="s">
        <v>1025</v>
      </c>
      <c r="F18" s="202" t="s">
        <v>1026</v>
      </c>
      <c r="G18" s="203" t="s">
        <v>1027</v>
      </c>
    </row>
    <row r="19" ht="22.5" customHeight="1">
      <c r="D19" s="202" t="s">
        <v>1028</v>
      </c>
      <c r="E19" s="202" t="s">
        <v>1029</v>
      </c>
      <c r="F19" s="202" t="s">
        <v>1030</v>
      </c>
      <c r="G19" s="203" t="s">
        <v>1031</v>
      </c>
    </row>
    <row r="20" ht="22.5" customHeight="1">
      <c r="D20" s="202" t="s">
        <v>1032</v>
      </c>
      <c r="E20" s="202" t="s">
        <v>1033</v>
      </c>
      <c r="F20" s="202" t="s">
        <v>1026</v>
      </c>
      <c r="G20" s="203" t="s">
        <v>1034</v>
      </c>
    </row>
    <row r="21" ht="22.5" customHeight="1">
      <c r="D21" s="202" t="s">
        <v>1035</v>
      </c>
      <c r="E21" s="202" t="s">
        <v>1036</v>
      </c>
      <c r="F21" s="202" t="s">
        <v>1037</v>
      </c>
      <c r="G21" s="203" t="s">
        <v>1038</v>
      </c>
    </row>
    <row r="22" ht="22.5" customHeight="1">
      <c r="D22" s="202" t="s">
        <v>1039</v>
      </c>
      <c r="E22" s="202" t="s">
        <v>1040</v>
      </c>
      <c r="F22" s="202" t="s">
        <v>1026</v>
      </c>
      <c r="G22" s="203" t="s">
        <v>1041</v>
      </c>
    </row>
    <row r="23" ht="22.5" customHeight="1">
      <c r="D23" s="202" t="s">
        <v>1042</v>
      </c>
      <c r="E23" s="202" t="s">
        <v>1043</v>
      </c>
      <c r="F23" s="202" t="s">
        <v>1044</v>
      </c>
      <c r="G23" s="203" t="s">
        <v>1045</v>
      </c>
    </row>
    <row r="24" ht="22.5" customHeight="1">
      <c r="D24" s="202" t="s">
        <v>1046</v>
      </c>
      <c r="E24" s="202" t="s">
        <v>1047</v>
      </c>
      <c r="F24" s="202" t="s">
        <v>1044</v>
      </c>
      <c r="G24" s="203" t="s">
        <v>1048</v>
      </c>
    </row>
    <row r="25" ht="22.5" customHeight="1">
      <c r="D25" s="202" t="s">
        <v>1049</v>
      </c>
      <c r="E25" s="202" t="s">
        <v>1050</v>
      </c>
      <c r="F25" s="202" t="s">
        <v>1051</v>
      </c>
      <c r="G25" s="203" t="s">
        <v>1052</v>
      </c>
    </row>
    <row r="26" ht="22.5" customHeight="1">
      <c r="D26" s="202" t="s">
        <v>1053</v>
      </c>
      <c r="E26" s="202" t="s">
        <v>1054</v>
      </c>
      <c r="F26" s="202" t="s">
        <v>1044</v>
      </c>
      <c r="G26" s="203" t="s">
        <v>1055</v>
      </c>
    </row>
    <row r="27" ht="22.5" customHeight="1">
      <c r="D27" s="202" t="s">
        <v>1056</v>
      </c>
      <c r="E27" s="202" t="s">
        <v>1057</v>
      </c>
      <c r="F27" s="202" t="s">
        <v>1030</v>
      </c>
      <c r="G27" s="203" t="s">
        <v>1058</v>
      </c>
    </row>
    <row r="28" ht="22.5" customHeight="1">
      <c r="D28" s="202" t="s">
        <v>1059</v>
      </c>
      <c r="E28" s="202" t="s">
        <v>1060</v>
      </c>
      <c r="F28" s="202" t="s">
        <v>1051</v>
      </c>
      <c r="G28" s="203" t="s">
        <v>1061</v>
      </c>
    </row>
  </sheetData>
  <drawing r:id="rId1"/>
  <tableParts count="1">
    <tablePart r:id="rId3"/>
  </tableParts>
</worksheet>
</file>